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lon\Downloads\"/>
    </mc:Choice>
  </mc:AlternateContent>
  <xr:revisionPtr revIDLastSave="0" documentId="13_ncr:1_{3CE449CA-0319-42CE-86B3-FE60F838D2F2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ost table" sheetId="1" r:id="rId1"/>
    <sheet name="price for customers" sheetId="2" r:id="rId2"/>
  </sheets>
  <definedNames>
    <definedName name="_xlnm._FilterDatabase" localSheetId="1" hidden="1">'price for customers'!$A$8:$F$62</definedName>
    <definedName name="_xlnm.Print_Area" localSheetId="1">'price for customers'!$A$1:$F$78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7" i="2" l="1"/>
  <c r="C66" i="2"/>
  <c r="C65" i="2"/>
  <c r="C64" i="2"/>
  <c r="B5" i="2"/>
  <c r="B4" i="2"/>
  <c r="B3" i="2"/>
  <c r="B2" i="2"/>
  <c r="B1" i="2"/>
  <c r="A45" i="2"/>
  <c r="B45" i="2"/>
  <c r="C45" i="2"/>
  <c r="D45" i="2"/>
  <c r="A51" i="2"/>
  <c r="B51" i="2"/>
  <c r="C51" i="2"/>
  <c r="D51" i="2"/>
  <c r="A44" i="2"/>
  <c r="B44" i="2"/>
  <c r="C44" i="2"/>
  <c r="D44" i="2"/>
  <c r="A46" i="2"/>
  <c r="B46" i="2"/>
  <c r="C46" i="2"/>
  <c r="D46" i="2"/>
  <c r="A47" i="2"/>
  <c r="B47" i="2"/>
  <c r="C47" i="2"/>
  <c r="D47" i="2"/>
  <c r="A48" i="2"/>
  <c r="B48" i="2"/>
  <c r="C48" i="2"/>
  <c r="D48" i="2"/>
  <c r="A49" i="2"/>
  <c r="B49" i="2"/>
  <c r="C49" i="2"/>
  <c r="D49" i="2"/>
  <c r="A50" i="2"/>
  <c r="B50" i="2"/>
  <c r="C50" i="2"/>
  <c r="D50" i="2"/>
  <c r="A52" i="2"/>
  <c r="B52" i="2"/>
  <c r="C52" i="2"/>
  <c r="D52" i="2"/>
  <c r="A58" i="2"/>
  <c r="B58" i="2"/>
  <c r="C58" i="2"/>
  <c r="D58" i="2"/>
  <c r="L19" i="2"/>
  <c r="L20" i="2"/>
  <c r="L21" i="2"/>
  <c r="L22" i="2"/>
  <c r="L23" i="2"/>
  <c r="L24" i="2"/>
  <c r="L25" i="2"/>
  <c r="L26" i="2"/>
  <c r="L18" i="2"/>
  <c r="K19" i="2"/>
  <c r="K20" i="2"/>
  <c r="K21" i="2"/>
  <c r="K22" i="2"/>
  <c r="K23" i="2"/>
  <c r="K24" i="2"/>
  <c r="K25" i="2"/>
  <c r="K26" i="2"/>
  <c r="K18" i="2"/>
  <c r="A53" i="2"/>
  <c r="B53" i="2"/>
  <c r="C53" i="2"/>
  <c r="D53" i="2"/>
  <c r="A54" i="2"/>
  <c r="B54" i="2"/>
  <c r="C54" i="2"/>
  <c r="D54" i="2"/>
  <c r="A55" i="2"/>
  <c r="B55" i="2"/>
  <c r="C55" i="2"/>
  <c r="D55" i="2"/>
  <c r="A56" i="2"/>
  <c r="B56" i="2"/>
  <c r="C56" i="2"/>
  <c r="D56" i="2"/>
  <c r="A57" i="2"/>
  <c r="B57" i="2"/>
  <c r="C57" i="2"/>
  <c r="D57" i="2"/>
  <c r="D16" i="2" l="1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60" i="2"/>
  <c r="D61" i="2"/>
  <c r="D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60" i="2"/>
  <c r="C61" i="2"/>
  <c r="C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60" i="2"/>
  <c r="B61" i="2"/>
  <c r="B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60" i="2"/>
  <c r="A61" i="2"/>
  <c r="A15" i="2"/>
  <c r="A64" i="2" l="1"/>
  <c r="F6" i="2"/>
  <c r="J11" i="2"/>
  <c r="B9" i="2"/>
  <c r="B12" i="2"/>
  <c r="B13" i="2"/>
  <c r="B11" i="2"/>
  <c r="B10" i="2"/>
  <c r="E6" i="2"/>
  <c r="F8" i="2"/>
  <c r="F62" i="1"/>
  <c r="F8" i="1"/>
  <c r="E45" i="2" l="1"/>
  <c r="F45" i="2"/>
  <c r="E51" i="2"/>
  <c r="F51" i="2"/>
  <c r="E44" i="2"/>
  <c r="E47" i="2"/>
  <c r="E49" i="2"/>
  <c r="E50" i="2"/>
  <c r="E58" i="2"/>
  <c r="F44" i="2"/>
  <c r="F47" i="2"/>
  <c r="F49" i="2"/>
  <c r="F50" i="2"/>
  <c r="F58" i="2"/>
  <c r="E46" i="2"/>
  <c r="E48" i="2"/>
  <c r="E52" i="2"/>
  <c r="F46" i="2"/>
  <c r="F48" i="2"/>
  <c r="F52" i="2"/>
  <c r="E53" i="2"/>
  <c r="E54" i="2"/>
  <c r="E56" i="2"/>
  <c r="E55" i="2"/>
  <c r="E57" i="2"/>
  <c r="F55" i="2"/>
  <c r="F53" i="2"/>
  <c r="F54" i="2"/>
  <c r="F56" i="2"/>
  <c r="F57" i="2"/>
  <c r="F18" i="2"/>
  <c r="F22" i="2"/>
  <c r="F26" i="2"/>
  <c r="F30" i="2"/>
  <c r="F34" i="2"/>
  <c r="F38" i="2"/>
  <c r="F41" i="2"/>
  <c r="F60" i="2"/>
  <c r="E17" i="2"/>
  <c r="E21" i="2"/>
  <c r="E25" i="2"/>
  <c r="E29" i="2"/>
  <c r="E33" i="2"/>
  <c r="E37" i="2"/>
  <c r="F19" i="2"/>
  <c r="F23" i="2"/>
  <c r="F27" i="2"/>
  <c r="F31" i="2"/>
  <c r="F35" i="2"/>
  <c r="F39" i="2"/>
  <c r="F42" i="2"/>
  <c r="F61" i="2"/>
  <c r="E18" i="2"/>
  <c r="E22" i="2"/>
  <c r="E26" i="2"/>
  <c r="E30" i="2"/>
  <c r="E34" i="2"/>
  <c r="E38" i="2"/>
  <c r="E41" i="2"/>
  <c r="E60" i="2"/>
  <c r="F16" i="2"/>
  <c r="F20" i="2"/>
  <c r="F24" i="2"/>
  <c r="F28" i="2"/>
  <c r="F32" i="2"/>
  <c r="F36" i="2"/>
  <c r="F40" i="2"/>
  <c r="F43" i="2"/>
  <c r="F15" i="2"/>
  <c r="E19" i="2"/>
  <c r="E23" i="2"/>
  <c r="E27" i="2"/>
  <c r="E31" i="2"/>
  <c r="E35" i="2"/>
  <c r="E39" i="2"/>
  <c r="E42" i="2"/>
  <c r="E61" i="2"/>
  <c r="F17" i="2"/>
  <c r="F21" i="2"/>
  <c r="F25" i="2"/>
  <c r="F29" i="2"/>
  <c r="F33" i="2"/>
  <c r="F37" i="2"/>
  <c r="E16" i="2"/>
  <c r="E20" i="2"/>
  <c r="E24" i="2"/>
  <c r="E28" i="2"/>
  <c r="E32" i="2"/>
  <c r="E36" i="2"/>
  <c r="E40" i="2"/>
  <c r="E43" i="2"/>
  <c r="E15" i="2"/>
  <c r="F62" i="2" l="1"/>
</calcChain>
</file>

<file path=xl/sharedStrings.xml><?xml version="1.0" encoding="utf-8"?>
<sst xmlns="http://schemas.openxmlformats.org/spreadsheetml/2006/main" count="59" uniqueCount="39">
  <si>
    <t>Date:</t>
    <phoneticPr fontId="1" type="noConversion"/>
  </si>
  <si>
    <t>項目
Item</t>
    <phoneticPr fontId="1" type="noConversion"/>
  </si>
  <si>
    <t>工程説明
Description</t>
    <phoneticPr fontId="1" type="noConversion"/>
  </si>
  <si>
    <t>數量
QTY</t>
    <phoneticPr fontId="1" type="noConversion"/>
  </si>
  <si>
    <t>單位
Unit</t>
    <phoneticPr fontId="1" type="noConversion"/>
  </si>
  <si>
    <t>單價
Rate</t>
    <phoneticPr fontId="1" type="noConversion"/>
  </si>
  <si>
    <t>總額
Amount</t>
    <phoneticPr fontId="1" type="noConversion"/>
  </si>
  <si>
    <t>Terms of Payment:</t>
    <phoneticPr fontId="1" type="noConversion"/>
  </si>
  <si>
    <t>Accepted and Confirmed By:</t>
    <phoneticPr fontId="1" type="noConversion"/>
  </si>
  <si>
    <t>Co. Chop &amp; Signature</t>
    <phoneticPr fontId="1" type="noConversion"/>
  </si>
  <si>
    <t>For &amp; on behalf of:</t>
    <phoneticPr fontId="1" type="noConversion"/>
  </si>
  <si>
    <t>Authorized Signature(s)</t>
    <phoneticPr fontId="1" type="noConversion"/>
  </si>
  <si>
    <t xml:space="preserve">                                                        </t>
    <phoneticPr fontId="1" type="noConversion"/>
  </si>
  <si>
    <t xml:space="preserve">                                                                   </t>
    <phoneticPr fontId="1" type="noConversion"/>
  </si>
  <si>
    <t>Please kindly deposit the below bank details,</t>
  </si>
  <si>
    <t>Attn:</t>
  </si>
  <si>
    <t>Project:</t>
  </si>
  <si>
    <t>Hong Kong Dollars ONLY</t>
  </si>
  <si>
    <t>1)100% of full amount on completion date</t>
  </si>
  <si>
    <t>Contact:</t>
  </si>
  <si>
    <t>INVOICE</t>
  </si>
  <si>
    <t>Invoice No.</t>
  </si>
  <si>
    <t>To:</t>
  </si>
  <si>
    <t>markup ratio:</t>
  </si>
  <si>
    <t>markup percent:</t>
  </si>
  <si>
    <t>exceptional case:</t>
  </si>
  <si>
    <t>item</t>
  </si>
  <si>
    <t>markup percent</t>
  </si>
  <si>
    <t>price</t>
  </si>
  <si>
    <t>unit price</t>
  </si>
  <si>
    <t>Tel: 6484-XXXX   Fax: 2802-XXXX</t>
  </si>
  <si>
    <t>*****有限公司</t>
  </si>
  <si>
    <t>*****iors Co., Limited</t>
  </si>
  <si>
    <t>*****號地下</t>
  </si>
  <si>
    <t>*****rt Road, Wan Chai, Hong Kong</t>
  </si>
  <si>
    <t>Company Name : KA *****</t>
  </si>
  <si>
    <t>Bank Name : Bank of *****</t>
  </si>
  <si>
    <t>A/C No. : *****</t>
  </si>
  <si>
    <t>KA *****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</si>
</sst>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HK$&quot;* #,##0.00_);_(&quot;HK$&quot;* \(#,##0.00\);_(&quot;HK$&quot;* &quot;-&quot;??_);_(@_)"/>
    <numFmt numFmtId="165" formatCode="_([$HK$-C04]* #,##0.00_);_([$HK$-C04]* \(#,##0.00\);_([$HK$-C04]* &quot;-&quot;??_);_(@_)"/>
    <numFmt numFmtId="166" formatCode="_-[$HK$-C04]* #,##0.00_ ;_-[$HK$-C04]* \-#,##0.00\ ;_-[$HK$-C04]* &quot;-&quot;??_ ;_-@_ "/>
    <numFmt numFmtId="167" formatCode="[$-409]d\-mmm\-yy;@"/>
  </numFmts>
  <fonts count="30"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10"/>
      <color theme="1"/>
      <name val="Calibri"/>
      <family val="2"/>
      <charset val="136"/>
      <scheme val="minor"/>
    </font>
    <font>
      <sz val="10"/>
      <color theme="1"/>
      <name val="Calibri"/>
      <family val="1"/>
      <charset val="136"/>
      <scheme val="minor"/>
    </font>
    <font>
      <sz val="10"/>
      <name val="Calibri"/>
      <family val="1"/>
      <charset val="136"/>
      <scheme val="minor"/>
    </font>
    <font>
      <b/>
      <u/>
      <sz val="12"/>
      <color theme="1"/>
      <name val="Arial Unicode MS"/>
      <family val="2"/>
      <charset val="136"/>
    </font>
    <font>
      <sz val="12"/>
      <color theme="1"/>
      <name val="Arial Unicode MS"/>
      <family val="2"/>
      <charset val="136"/>
    </font>
    <font>
      <b/>
      <sz val="12"/>
      <color theme="1"/>
      <name val="Arial Unicode MS"/>
      <family val="2"/>
      <charset val="136"/>
    </font>
    <font>
      <b/>
      <sz val="14"/>
      <color theme="1"/>
      <name val="Arial Unicode MS"/>
      <family val="2"/>
      <charset val="136"/>
    </font>
    <font>
      <sz val="10"/>
      <color theme="1"/>
      <name val="Arial Unicode MS"/>
      <family val="2"/>
      <charset val="136"/>
    </font>
    <font>
      <b/>
      <sz val="10"/>
      <color theme="1"/>
      <name val="Arial Unicode MS"/>
      <family val="2"/>
      <charset val="136"/>
    </font>
    <font>
      <b/>
      <u/>
      <sz val="10"/>
      <color theme="1"/>
      <name val="Arial Unicode MS"/>
      <family val="2"/>
      <charset val="136"/>
    </font>
    <font>
      <u/>
      <sz val="10"/>
      <color theme="1"/>
      <name val="Arial Unicode MS"/>
      <family val="2"/>
      <charset val="136"/>
    </font>
    <font>
      <sz val="12"/>
      <color theme="1"/>
      <name val="Calibri"/>
      <family val="2"/>
      <charset val="136"/>
      <scheme val="minor"/>
    </font>
    <font>
      <b/>
      <sz val="10"/>
      <color theme="1"/>
      <name val="Calibri"/>
      <family val="2"/>
    </font>
    <font>
      <b/>
      <u val="singleAccounting"/>
      <sz val="10"/>
      <color theme="1"/>
      <name val="Calibri"/>
      <family val="1"/>
      <charset val="136"/>
      <scheme val="minor"/>
    </font>
    <font>
      <sz val="10"/>
      <color theme="1"/>
      <name val="Arial Unicode MS"/>
      <family val="1"/>
      <charset val="136"/>
    </font>
    <font>
      <i/>
      <sz val="10"/>
      <color theme="1"/>
      <name val="Calibri"/>
      <family val="1"/>
      <charset val="136"/>
      <scheme val="minor"/>
    </font>
    <font>
      <i/>
      <sz val="10"/>
      <color theme="1"/>
      <name val="Calibri"/>
      <family val="2"/>
      <charset val="136"/>
      <scheme val="minor"/>
    </font>
    <font>
      <i/>
      <sz val="12"/>
      <color theme="1"/>
      <name val="Calibri"/>
      <family val="2"/>
      <charset val="136"/>
      <scheme val="minor"/>
    </font>
    <font>
      <sz val="12"/>
      <color theme="1"/>
      <name val="Calibri"/>
      <family val="1"/>
      <charset val="136"/>
      <scheme val="minor"/>
    </font>
    <font>
      <sz val="12"/>
      <color theme="1"/>
      <name val="Calibri Light"/>
      <family val="1"/>
      <charset val="136"/>
      <scheme val="major"/>
    </font>
    <font>
      <b/>
      <sz val="12"/>
      <color theme="1"/>
      <name val="Calibri"/>
      <family val="1"/>
      <charset val="136"/>
      <scheme val="minor"/>
    </font>
    <font>
      <b/>
      <sz val="18"/>
      <color theme="1"/>
      <name val="Arial Unicode MS"/>
      <family val="2"/>
      <charset val="136"/>
    </font>
    <font>
      <sz val="14"/>
      <color theme="1"/>
      <name val="Arial Unicode MS"/>
      <family val="2"/>
      <charset val="136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2"/>
      <color theme="1"/>
      <name val="Calibri Light"/>
      <family val="2"/>
      <scheme val="major"/>
    </font>
    <font>
      <b/>
      <i/>
      <sz val="10"/>
      <color theme="1"/>
      <name val="Calibri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/>
      <right style="medium">
        <color theme="1"/>
      </right>
      <top style="medium">
        <color indexed="64"/>
      </top>
      <bottom/>
      <diagonal/>
    </border>
    <border>
      <left/>
      <right style="medium">
        <color theme="1"/>
      </right>
      <top/>
      <bottom style="thin">
        <color indexed="64"/>
      </bottom>
      <diagonal/>
    </border>
    <border>
      <left/>
      <right style="medium">
        <color theme="1"/>
      </right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/>
      <bottom style="thin">
        <color indexed="64"/>
      </bottom>
      <diagonal/>
    </border>
    <border>
      <left/>
      <right/>
      <top/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theme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164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</cellStyleXfs>
  <cellXfs count="94">
    <xf numFmtId="0" fontId="0" fillId="0" borderId="0" xfId="0">
      <alignment vertical="center"/>
    </xf>
    <xf numFmtId="0" fontId="0" fillId="0" borderId="0" xfId="0" applyBorder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3" fillId="0" borderId="0" xfId="0" applyFont="1" applyBorder="1">
      <alignment vertical="center"/>
    </xf>
    <xf numFmtId="0" fontId="2" fillId="0" borderId="0" xfId="0" applyFont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0" fillId="0" borderId="11" xfId="0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5" xfId="0" applyFont="1" applyBorder="1">
      <alignment vertical="center"/>
    </xf>
    <xf numFmtId="0" fontId="10" fillId="0" borderId="7" xfId="0" applyFont="1" applyBorder="1">
      <alignment vertical="center"/>
    </xf>
    <xf numFmtId="0" fontId="10" fillId="0" borderId="10" xfId="0" applyFont="1" applyBorder="1">
      <alignment vertical="center"/>
    </xf>
    <xf numFmtId="0" fontId="10" fillId="0" borderId="8" xfId="0" applyFont="1" applyBorder="1">
      <alignment vertical="center"/>
    </xf>
    <xf numFmtId="0" fontId="10" fillId="0" borderId="6" xfId="0" applyFont="1" applyBorder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9" fillId="0" borderId="0" xfId="0" applyFont="1" applyBorder="1">
      <alignment vertical="center"/>
    </xf>
    <xf numFmtId="0" fontId="12" fillId="0" borderId="0" xfId="0" applyFont="1" applyBorder="1">
      <alignment vertical="center"/>
    </xf>
    <xf numFmtId="0" fontId="3" fillId="0" borderId="13" xfId="0" applyFont="1" applyBorder="1">
      <alignment vertical="center"/>
    </xf>
    <xf numFmtId="0" fontId="14" fillId="0" borderId="0" xfId="0" applyFont="1" applyAlignment="1">
      <alignment horizontal="left" vertical="center" indent="4"/>
    </xf>
    <xf numFmtId="0" fontId="16" fillId="0" borderId="0" xfId="0" applyFont="1">
      <alignment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9" fillId="0" borderId="0" xfId="0" applyFont="1" applyAlignment="1">
      <alignment horizontal="left" vertical="center"/>
    </xf>
    <xf numFmtId="0" fontId="21" fillId="0" borderId="0" xfId="0" applyFont="1" applyAlignment="1">
      <alignment vertical="center" wrapText="1"/>
    </xf>
    <xf numFmtId="0" fontId="20" fillId="0" borderId="4" xfId="0" applyFont="1" applyBorder="1" applyAlignment="1">
      <alignment horizontal="center" vertical="center"/>
    </xf>
    <xf numFmtId="166" fontId="20" fillId="0" borderId="1" xfId="0" applyNumberFormat="1" applyFont="1" applyBorder="1">
      <alignment vertical="center"/>
    </xf>
    <xf numFmtId="0" fontId="23" fillId="0" borderId="11" xfId="0" applyFont="1" applyBorder="1">
      <alignment vertical="center"/>
    </xf>
    <xf numFmtId="0" fontId="23" fillId="0" borderId="0" xfId="0" applyFont="1">
      <alignment vertical="center"/>
    </xf>
    <xf numFmtId="0" fontId="24" fillId="0" borderId="0" xfId="0" applyFont="1">
      <alignment vertical="center"/>
    </xf>
    <xf numFmtId="0" fontId="23" fillId="0" borderId="0" xfId="0" applyFont="1" applyAlignment="1">
      <alignment horizontal="right" vertical="center"/>
    </xf>
    <xf numFmtId="0" fontId="17" fillId="0" borderId="16" xfId="0" applyFont="1" applyBorder="1" applyAlignment="1">
      <alignment horizontal="center" vertical="center"/>
    </xf>
    <xf numFmtId="0" fontId="20" fillId="0" borderId="21" xfId="0" applyFont="1" applyBorder="1">
      <alignment vertical="center"/>
    </xf>
    <xf numFmtId="0" fontId="3" fillId="0" borderId="21" xfId="0" applyFont="1" applyBorder="1">
      <alignment vertical="center"/>
    </xf>
    <xf numFmtId="0" fontId="17" fillId="0" borderId="21" xfId="0" applyFont="1" applyBorder="1">
      <alignment vertical="center"/>
    </xf>
    <xf numFmtId="0" fontId="3" fillId="0" borderId="22" xfId="0" applyFont="1" applyBorder="1">
      <alignment vertical="center"/>
    </xf>
    <xf numFmtId="0" fontId="3" fillId="0" borderId="4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6" fontId="0" fillId="0" borderId="2" xfId="0" applyNumberFormat="1" applyBorder="1" applyAlignment="1">
      <alignment vertical="center"/>
    </xf>
    <xf numFmtId="166" fontId="0" fillId="0" borderId="16" xfId="0" applyNumberFormat="1" applyBorder="1" applyAlignment="1">
      <alignment vertical="center"/>
    </xf>
    <xf numFmtId="166" fontId="0" fillId="0" borderId="1" xfId="0" applyNumberFormat="1" applyBorder="1">
      <alignment vertical="center"/>
    </xf>
    <xf numFmtId="0" fontId="20" fillId="0" borderId="24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10" fontId="0" fillId="0" borderId="26" xfId="0" applyNumberFormat="1" applyBorder="1">
      <alignment vertical="center"/>
    </xf>
    <xf numFmtId="0" fontId="0" fillId="0" borderId="26" xfId="0" applyBorder="1">
      <alignment vertical="center"/>
    </xf>
    <xf numFmtId="0" fontId="0" fillId="3" borderId="26" xfId="0" applyFill="1" applyBorder="1">
      <alignment vertical="center"/>
    </xf>
    <xf numFmtId="164" fontId="25" fillId="0" borderId="15" xfId="1" applyFont="1" applyBorder="1">
      <alignment vertical="center"/>
    </xf>
    <xf numFmtId="164" fontId="27" fillId="0" borderId="15" xfId="1" applyFont="1" applyBorder="1">
      <alignment vertical="center"/>
    </xf>
    <xf numFmtId="0" fontId="26" fillId="0" borderId="15" xfId="0" applyFont="1" applyBorder="1">
      <alignment vertical="center"/>
    </xf>
    <xf numFmtId="0" fontId="26" fillId="0" borderId="15" xfId="0" applyFont="1" applyBorder="1" applyAlignment="1">
      <alignment horizontal="center" vertical="center"/>
    </xf>
    <xf numFmtId="0" fontId="26" fillId="0" borderId="19" xfId="0" applyFont="1" applyBorder="1">
      <alignment vertical="center"/>
    </xf>
    <xf numFmtId="164" fontId="25" fillId="0" borderId="19" xfId="1" applyFont="1" applyBorder="1">
      <alignment vertical="center"/>
    </xf>
    <xf numFmtId="0" fontId="0" fillId="5" borderId="26" xfId="0" applyFill="1" applyBorder="1">
      <alignment vertical="center"/>
    </xf>
    <xf numFmtId="10" fontId="0" fillId="0" borderId="0" xfId="0" applyNumberFormat="1" applyBorder="1">
      <alignment vertical="center"/>
    </xf>
    <xf numFmtId="0" fontId="0" fillId="4" borderId="0" xfId="0" applyFill="1">
      <alignment vertical="center"/>
    </xf>
    <xf numFmtId="167" fontId="10" fillId="0" borderId="9" xfId="0" applyNumberFormat="1" applyFont="1" applyBorder="1" applyAlignment="1">
      <alignment horizontal="left" vertical="center"/>
    </xf>
    <xf numFmtId="0" fontId="0" fillId="0" borderId="4" xfId="0" applyBorder="1">
      <alignment vertical="center"/>
    </xf>
    <xf numFmtId="9" fontId="0" fillId="0" borderId="4" xfId="2" applyFont="1" applyBorder="1" applyAlignment="1">
      <alignment vertical="center"/>
    </xf>
    <xf numFmtId="0" fontId="0" fillId="0" borderId="27" xfId="0" applyBorder="1">
      <alignment vertical="center"/>
    </xf>
    <xf numFmtId="167" fontId="10" fillId="0" borderId="28" xfId="0" applyNumberFormat="1" applyFont="1" applyBorder="1" applyAlignment="1">
      <alignment horizontal="left" vertical="center"/>
    </xf>
    <xf numFmtId="164" fontId="25" fillId="0" borderId="5" xfId="1" applyFont="1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>
      <alignment vertical="center"/>
    </xf>
    <xf numFmtId="166" fontId="20" fillId="0" borderId="0" xfId="0" applyNumberFormat="1" applyFont="1" applyBorder="1">
      <alignment vertical="center"/>
    </xf>
    <xf numFmtId="165" fontId="15" fillId="0" borderId="0" xfId="0" applyNumberFormat="1" applyFont="1" applyFill="1" applyBorder="1">
      <alignment vertical="center"/>
    </xf>
    <xf numFmtId="165" fontId="3" fillId="0" borderId="12" xfId="0" applyNumberFormat="1" applyFont="1" applyFill="1" applyBorder="1">
      <alignment vertical="center"/>
    </xf>
    <xf numFmtId="0" fontId="3" fillId="2" borderId="13" xfId="0" applyFont="1" applyFill="1" applyBorder="1" applyAlignment="1">
      <alignment vertical="center" wrapText="1"/>
    </xf>
    <xf numFmtId="0" fontId="3" fillId="2" borderId="22" xfId="0" applyFont="1" applyFill="1" applyBorder="1" applyAlignment="1">
      <alignment vertical="center" wrapText="1"/>
    </xf>
    <xf numFmtId="0" fontId="3" fillId="2" borderId="18" xfId="0" applyFont="1" applyFill="1" applyBorder="1" applyAlignment="1">
      <alignment vertical="center" wrapText="1"/>
    </xf>
    <xf numFmtId="0" fontId="3" fillId="2" borderId="16" xfId="0" applyFont="1" applyFill="1" applyBorder="1" applyAlignment="1">
      <alignment vertical="center" wrapText="1"/>
    </xf>
    <xf numFmtId="0" fontId="3" fillId="2" borderId="0" xfId="0" applyFont="1" applyFill="1" applyBorder="1" applyAlignment="1">
      <alignment vertical="center" wrapText="1"/>
    </xf>
    <xf numFmtId="0" fontId="3" fillId="0" borderId="29" xfId="0" applyFont="1" applyBorder="1">
      <alignment vertical="center"/>
    </xf>
    <xf numFmtId="0" fontId="22" fillId="0" borderId="0" xfId="0" applyFont="1" applyBorder="1">
      <alignment vertical="center"/>
    </xf>
    <xf numFmtId="0" fontId="22" fillId="0" borderId="30" xfId="0" applyFont="1" applyBorder="1">
      <alignment vertical="center"/>
    </xf>
    <xf numFmtId="165" fontId="22" fillId="0" borderId="0" xfId="0" applyNumberFormat="1" applyFont="1" applyFill="1" applyBorder="1">
      <alignment vertical="center"/>
    </xf>
    <xf numFmtId="164" fontId="25" fillId="0" borderId="31" xfId="1" applyFont="1" applyBorder="1">
      <alignment vertical="center"/>
    </xf>
    <xf numFmtId="164" fontId="25" fillId="0" borderId="32" xfId="1" applyFont="1" applyBorder="1">
      <alignment vertical="center"/>
    </xf>
    <xf numFmtId="0" fontId="28" fillId="0" borderId="0" xfId="0" applyFont="1" applyAlignment="1">
      <alignment vertical="center" wrapText="1"/>
    </xf>
    <xf numFmtId="0" fontId="3" fillId="3" borderId="20" xfId="0" applyFont="1" applyFill="1" applyBorder="1" applyAlignment="1">
      <alignment vertical="center" wrapText="1"/>
    </xf>
    <xf numFmtId="164" fontId="22" fillId="0" borderId="15" xfId="1" applyFont="1" applyBorder="1">
      <alignment vertical="center"/>
    </xf>
    <xf numFmtId="0" fontId="20" fillId="0" borderId="21" xfId="0" applyFont="1" applyBorder="1" applyAlignment="1">
      <alignment horizontal="center" vertical="center"/>
    </xf>
    <xf numFmtId="164" fontId="29" fillId="0" borderId="15" xfId="1" applyFont="1" applyBorder="1">
      <alignment vertical="center"/>
    </xf>
  </cellXfs>
  <cellStyles count="3">
    <cellStyle name="Currency" xfId="1" builtinId="4"/>
    <cellStyle name="Normal" xfId="0" builtinId="0"/>
    <cellStyle name="Per cent" xfId="2" builtinId="5"/>
  </cellStyles>
  <dxfs count="15"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 style="thin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 style="thin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/>
        <bottom style="medium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格2" displayName="表格2" ref="A14:F62" totalsRowShown="0" tableBorderDxfId="14">
  <autoFilter ref="A14:F62" xr:uid="{00000000-0009-0000-0100-000002000000}"/>
  <tableColumns count="6">
    <tableColumn id="1" xr3:uid="{00000000-0010-0000-0000-000001000000}" name="項目_x000a_Item"/>
    <tableColumn id="2" xr3:uid="{00000000-0010-0000-0000-000002000000}" name="工程説明_x000a_Description"/>
    <tableColumn id="3" xr3:uid="{00000000-0010-0000-0000-000003000000}" name="數量_x000a_QTY" dataDxfId="13"/>
    <tableColumn id="4" xr3:uid="{00000000-0010-0000-0000-000004000000}" name="單位_x000a_Unit" dataDxfId="12"/>
    <tableColumn id="5" xr3:uid="{00000000-0010-0000-0000-000005000000}" name="單價_x000a_Rate"/>
    <tableColumn id="6" xr3:uid="{00000000-0010-0000-0000-000006000000}" name="總額_x000a_Amount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表格3" displayName="表格3" ref="A14:F62" totalsRowShown="0" headerRowDxfId="11" headerRowBorderDxfId="10" tableBorderDxfId="9">
  <autoFilter ref="A14:F62" xr:uid="{00000000-0009-0000-0100-000003000000}"/>
  <tableColumns count="6">
    <tableColumn id="1" xr3:uid="{00000000-0010-0000-0100-000001000000}" name="項目_x000a_Item" dataDxfId="8"/>
    <tableColumn id="2" xr3:uid="{00000000-0010-0000-0100-000002000000}" name="工程説明_x000a_Description" dataDxfId="7"/>
    <tableColumn id="3" xr3:uid="{00000000-0010-0000-0100-000003000000}" name="數量_x000a_QTY" dataDxfId="6"/>
    <tableColumn id="4" xr3:uid="{00000000-0010-0000-0100-000004000000}" name="單位_x000a_Unit" dataDxfId="5"/>
    <tableColumn id="5" xr3:uid="{00000000-0010-0000-0100-000005000000}" name="單價_x000a_Rate" dataDxfId="4"/>
    <tableColumn id="6" xr3:uid="{00000000-0010-0000-0100-000006000000}" name="總額_x000a_Amount" dataDxf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79"/>
  <sheetViews>
    <sheetView topLeftCell="A55" zoomScaleNormal="100" workbookViewId="0">
      <selection activeCell="B69" sqref="B69"/>
    </sheetView>
  </sheetViews>
  <sheetFormatPr defaultRowHeight="15.6"/>
  <cols>
    <col min="1" max="1" width="13.59765625" customWidth="1"/>
    <col min="2" max="2" width="53.8984375" customWidth="1"/>
    <col min="4" max="4" width="11.59765625" customWidth="1"/>
    <col min="5" max="5" width="13.5" customWidth="1"/>
    <col min="6" max="6" width="17.09765625" customWidth="1"/>
  </cols>
  <sheetData>
    <row r="1" spans="1:8" ht="25.2" thickBot="1">
      <c r="A1" s="6"/>
      <c r="B1" s="30" t="s">
        <v>31</v>
      </c>
      <c r="C1" s="9"/>
      <c r="D1" s="9"/>
      <c r="E1" s="9"/>
      <c r="F1" s="9"/>
    </row>
    <row r="2" spans="1:8" ht="24.6">
      <c r="A2" s="8"/>
      <c r="B2" s="31" t="s">
        <v>32</v>
      </c>
    </row>
    <row r="3" spans="1:8" ht="19.8">
      <c r="A3" s="7"/>
      <c r="B3" s="32" t="s">
        <v>33</v>
      </c>
    </row>
    <row r="4" spans="1:8" ht="19.8">
      <c r="A4" s="7"/>
      <c r="B4" s="32" t="s">
        <v>34</v>
      </c>
    </row>
    <row r="5" spans="1:8" ht="20.399999999999999" thickBot="1">
      <c r="A5" s="7"/>
      <c r="B5" s="32" t="s">
        <v>30</v>
      </c>
    </row>
    <row r="6" spans="1:8">
      <c r="A6" s="11"/>
      <c r="B6" s="11"/>
      <c r="C6" s="11"/>
      <c r="D6" s="11"/>
      <c r="E6" s="12" t="s">
        <v>21</v>
      </c>
      <c r="F6" s="13"/>
      <c r="G6" s="4"/>
      <c r="H6" s="1"/>
    </row>
    <row r="7" spans="1:8">
      <c r="A7" s="11"/>
      <c r="B7" s="11"/>
      <c r="C7" s="11"/>
      <c r="D7" s="11"/>
      <c r="E7" s="14"/>
      <c r="F7" s="15"/>
      <c r="G7" s="4"/>
      <c r="H7" s="1"/>
    </row>
    <row r="8" spans="1:8" ht="16.2" thickBot="1">
      <c r="A8" s="11"/>
      <c r="B8" s="11"/>
      <c r="C8" s="11"/>
      <c r="D8" s="11"/>
      <c r="E8" s="16" t="s">
        <v>0</v>
      </c>
      <c r="F8" s="64">
        <f ca="1">TODAY()</f>
        <v>44599</v>
      </c>
      <c r="G8" s="4"/>
      <c r="H8" s="1"/>
    </row>
    <row r="9" spans="1:8" ht="24.6">
      <c r="A9" s="11"/>
      <c r="B9" s="33" t="s">
        <v>20</v>
      </c>
      <c r="C9" s="10"/>
      <c r="D9" s="17"/>
      <c r="E9" s="11"/>
      <c r="F9" s="11"/>
      <c r="G9" s="2"/>
    </row>
    <row r="10" spans="1:8">
      <c r="A10" s="11" t="s">
        <v>15</v>
      </c>
      <c r="B10" s="11"/>
      <c r="C10" s="11"/>
      <c r="D10" s="11"/>
      <c r="E10" s="11"/>
      <c r="F10" s="11"/>
      <c r="G10" s="2"/>
    </row>
    <row r="11" spans="1:8">
      <c r="A11" t="s">
        <v>22</v>
      </c>
      <c r="B11" s="11"/>
      <c r="C11" s="11"/>
      <c r="D11" s="11"/>
      <c r="E11" s="11"/>
      <c r="F11" s="11"/>
      <c r="G11" s="2"/>
    </row>
    <row r="12" spans="1:8">
      <c r="A12" s="11" t="s">
        <v>16</v>
      </c>
      <c r="C12" s="11"/>
      <c r="D12" s="11"/>
      <c r="E12" s="11"/>
      <c r="F12" s="11"/>
      <c r="G12" s="2"/>
    </row>
    <row r="13" spans="1:8">
      <c r="A13" s="11" t="s">
        <v>19</v>
      </c>
      <c r="B13" s="26"/>
      <c r="C13" s="2"/>
      <c r="D13" s="2"/>
      <c r="E13" s="2"/>
      <c r="F13" s="2"/>
      <c r="G13" s="2"/>
    </row>
    <row r="14" spans="1:8" ht="28.2" thickBot="1">
      <c r="A14" s="78" t="s">
        <v>1</v>
      </c>
      <c r="B14" s="78" t="s">
        <v>2</v>
      </c>
      <c r="C14" s="79" t="s">
        <v>3</v>
      </c>
      <c r="D14" s="80" t="s">
        <v>4</v>
      </c>
      <c r="E14" s="81" t="s">
        <v>5</v>
      </c>
      <c r="F14" s="82" t="s">
        <v>6</v>
      </c>
      <c r="G14" s="2"/>
    </row>
    <row r="15" spans="1:8">
      <c r="A15" s="42"/>
      <c r="B15" s="89"/>
      <c r="C15" s="46"/>
      <c r="D15" s="48"/>
      <c r="E15" s="90"/>
      <c r="F15" s="43"/>
      <c r="G15" s="2"/>
    </row>
    <row r="16" spans="1:8">
      <c r="A16" s="42"/>
      <c r="B16" s="89"/>
      <c r="C16" s="47"/>
      <c r="D16" s="28"/>
      <c r="E16" s="91"/>
      <c r="F16" s="44"/>
      <c r="G16" s="2"/>
    </row>
    <row r="17" spans="1:7">
      <c r="A17" s="42"/>
      <c r="B17" s="89"/>
      <c r="C17" s="92"/>
      <c r="D17" s="28"/>
      <c r="E17" s="91"/>
      <c r="F17" s="45"/>
      <c r="G17" s="2"/>
    </row>
    <row r="18" spans="1:7">
      <c r="A18" s="42"/>
      <c r="B18" s="89"/>
      <c r="C18" s="92"/>
      <c r="D18" s="28"/>
      <c r="E18" s="91"/>
      <c r="F18" s="29"/>
      <c r="G18" s="2"/>
    </row>
    <row r="19" spans="1:7">
      <c r="A19" s="42"/>
      <c r="B19" s="27"/>
      <c r="C19" s="35"/>
      <c r="D19" s="28"/>
      <c r="E19" s="55"/>
      <c r="F19" s="29"/>
      <c r="G19" s="2"/>
    </row>
    <row r="20" spans="1:7">
      <c r="A20" s="42"/>
      <c r="B20" s="27"/>
      <c r="C20" s="35"/>
      <c r="D20" s="28"/>
      <c r="E20" s="55"/>
      <c r="F20" s="29"/>
      <c r="G20" s="2"/>
    </row>
    <row r="21" spans="1:7">
      <c r="A21" s="42"/>
      <c r="B21" s="27"/>
      <c r="C21" s="92"/>
      <c r="D21" s="28"/>
      <c r="E21" s="91"/>
      <c r="F21" s="29"/>
      <c r="G21" s="2"/>
    </row>
    <row r="22" spans="1:7">
      <c r="A22" s="42"/>
      <c r="B22" s="27"/>
      <c r="C22" s="92"/>
      <c r="D22" s="28"/>
      <c r="E22" s="91"/>
      <c r="F22" s="29"/>
      <c r="G22" s="2"/>
    </row>
    <row r="23" spans="1:7">
      <c r="A23" s="42"/>
      <c r="B23" s="27"/>
      <c r="C23" s="92"/>
      <c r="D23" s="28"/>
      <c r="E23" s="91"/>
      <c r="F23" s="29"/>
      <c r="G23" s="2"/>
    </row>
    <row r="24" spans="1:7">
      <c r="A24" s="42"/>
      <c r="B24" s="27"/>
      <c r="C24" s="92"/>
      <c r="D24" s="28"/>
      <c r="E24" s="91"/>
      <c r="F24" s="29"/>
      <c r="G24" s="2"/>
    </row>
    <row r="25" spans="1:7">
      <c r="A25" s="42"/>
      <c r="B25" s="27"/>
      <c r="C25" s="92"/>
      <c r="D25" s="28"/>
      <c r="E25" s="91"/>
      <c r="F25" s="29"/>
      <c r="G25" s="2"/>
    </row>
    <row r="26" spans="1:7" s="25" customFormat="1">
      <c r="A26" s="42"/>
      <c r="B26" s="27"/>
      <c r="C26" s="92"/>
      <c r="D26" s="39"/>
      <c r="E26" s="55"/>
      <c r="F26" s="29"/>
      <c r="G26" s="24"/>
    </row>
    <row r="27" spans="1:7" s="25" customFormat="1">
      <c r="A27" s="42"/>
      <c r="B27" s="27"/>
      <c r="C27" s="92"/>
      <c r="D27" s="40"/>
      <c r="E27" s="55"/>
      <c r="F27" s="29"/>
      <c r="G27" s="24"/>
    </row>
    <row r="28" spans="1:7" s="25" customFormat="1">
      <c r="A28" s="42"/>
      <c r="B28" s="27"/>
      <c r="C28" s="92"/>
      <c r="D28" s="40"/>
      <c r="E28" s="55"/>
      <c r="F28" s="29"/>
      <c r="G28" s="24"/>
    </row>
    <row r="29" spans="1:7" s="25" customFormat="1">
      <c r="A29" s="42"/>
      <c r="B29" s="27"/>
      <c r="C29" s="92"/>
      <c r="D29" s="40"/>
      <c r="E29" s="93"/>
      <c r="F29" s="29"/>
      <c r="G29" s="24"/>
    </row>
    <row r="30" spans="1:7" s="25" customFormat="1">
      <c r="A30" s="42"/>
      <c r="B30" s="27"/>
      <c r="C30" s="92"/>
      <c r="D30" s="40"/>
      <c r="E30" s="93"/>
      <c r="F30" s="29"/>
      <c r="G30" s="24"/>
    </row>
    <row r="31" spans="1:7" s="25" customFormat="1">
      <c r="A31" s="42"/>
      <c r="B31" s="27"/>
      <c r="C31" s="92"/>
      <c r="D31" s="40"/>
      <c r="E31" s="93"/>
      <c r="F31" s="29"/>
      <c r="G31" s="24"/>
    </row>
    <row r="32" spans="1:7" s="25" customFormat="1">
      <c r="A32" s="42"/>
      <c r="B32" s="27"/>
      <c r="C32" s="92"/>
      <c r="D32" s="40"/>
      <c r="E32" s="93"/>
      <c r="F32" s="29"/>
      <c r="G32" s="24"/>
    </row>
    <row r="33" spans="1:7" s="25" customFormat="1">
      <c r="A33" s="42"/>
      <c r="B33" s="27"/>
      <c r="C33" s="92"/>
      <c r="D33" s="40"/>
      <c r="E33" s="93"/>
      <c r="F33" s="29"/>
      <c r="G33" s="24"/>
    </row>
    <row r="34" spans="1:7" s="25" customFormat="1">
      <c r="A34" s="42"/>
      <c r="B34" s="27"/>
      <c r="C34" s="92"/>
      <c r="D34" s="40"/>
      <c r="E34" s="93"/>
      <c r="F34" s="29"/>
      <c r="G34" s="24"/>
    </row>
    <row r="35" spans="1:7" s="25" customFormat="1">
      <c r="A35" s="42"/>
      <c r="B35" s="27"/>
      <c r="C35" s="92"/>
      <c r="D35" s="40"/>
      <c r="E35" s="93"/>
      <c r="F35" s="29"/>
      <c r="G35" s="24"/>
    </row>
    <row r="36" spans="1:7" s="25" customFormat="1">
      <c r="A36" s="42"/>
      <c r="B36" s="27"/>
      <c r="C36" s="92"/>
      <c r="D36" s="40"/>
      <c r="E36" s="93"/>
      <c r="F36" s="29"/>
      <c r="G36" s="24"/>
    </row>
    <row r="37" spans="1:7" s="25" customFormat="1">
      <c r="A37" s="42"/>
      <c r="B37" s="27"/>
      <c r="C37" s="37"/>
      <c r="D37" s="40"/>
      <c r="E37" s="93"/>
      <c r="F37" s="29"/>
      <c r="G37" s="24"/>
    </row>
    <row r="38" spans="1:7" s="25" customFormat="1">
      <c r="A38" s="42"/>
      <c r="B38" s="27"/>
      <c r="C38" s="37"/>
      <c r="D38" s="40"/>
      <c r="E38" s="93"/>
      <c r="F38" s="29"/>
      <c r="G38" s="24"/>
    </row>
    <row r="39" spans="1:7" s="25" customFormat="1">
      <c r="A39" s="42"/>
      <c r="B39" s="27"/>
      <c r="C39" s="37"/>
      <c r="D39" s="40"/>
      <c r="E39" s="93"/>
      <c r="F39" s="29"/>
      <c r="G39" s="24"/>
    </row>
    <row r="40" spans="1:7" s="25" customFormat="1">
      <c r="A40" s="42"/>
      <c r="B40" s="27"/>
      <c r="C40" s="37"/>
      <c r="D40" s="40"/>
      <c r="E40" s="93"/>
      <c r="F40" s="29"/>
      <c r="G40" s="24"/>
    </row>
    <row r="41" spans="1:7" s="25" customFormat="1">
      <c r="A41" s="34"/>
      <c r="B41" s="27"/>
      <c r="C41" s="37"/>
      <c r="D41" s="40"/>
      <c r="E41" s="93"/>
      <c r="F41" s="29"/>
      <c r="G41" s="24"/>
    </row>
    <row r="42" spans="1:7" s="25" customFormat="1">
      <c r="A42" s="34"/>
      <c r="B42" s="27"/>
      <c r="C42" s="37"/>
      <c r="D42" s="40"/>
      <c r="E42" s="93"/>
      <c r="F42" s="29"/>
      <c r="G42" s="24"/>
    </row>
    <row r="43" spans="1:7" s="25" customFormat="1">
      <c r="A43" s="34"/>
      <c r="B43" s="27"/>
      <c r="C43" s="37"/>
      <c r="D43" s="40"/>
      <c r="E43" s="93"/>
      <c r="F43" s="29"/>
      <c r="G43" s="24"/>
    </row>
    <row r="44" spans="1:7" s="25" customFormat="1">
      <c r="A44" s="34"/>
      <c r="B44" s="27"/>
      <c r="C44" s="37"/>
      <c r="D44" s="40"/>
      <c r="E44" s="93"/>
      <c r="F44" s="29"/>
      <c r="G44" s="24"/>
    </row>
    <row r="45" spans="1:7" s="25" customFormat="1">
      <c r="A45" s="72"/>
      <c r="B45" s="27"/>
      <c r="C45" s="37"/>
      <c r="D45" s="40"/>
      <c r="E45" s="93"/>
      <c r="F45" s="75"/>
      <c r="G45" s="24"/>
    </row>
    <row r="46" spans="1:7" s="25" customFormat="1">
      <c r="A46" s="72"/>
      <c r="B46" s="27"/>
      <c r="C46" s="37"/>
      <c r="D46" s="40"/>
      <c r="E46" s="93"/>
      <c r="F46" s="75"/>
      <c r="G46" s="24"/>
    </row>
    <row r="47" spans="1:7" s="25" customFormat="1">
      <c r="A47" s="72"/>
      <c r="B47" s="27"/>
      <c r="C47" s="37"/>
      <c r="D47" s="40"/>
      <c r="E47" s="93"/>
      <c r="F47" s="75"/>
      <c r="G47" s="24"/>
    </row>
    <row r="48" spans="1:7" s="25" customFormat="1">
      <c r="A48" s="72"/>
      <c r="B48" s="27"/>
      <c r="C48" s="37"/>
      <c r="D48" s="40"/>
      <c r="E48" s="93"/>
      <c r="F48" s="75"/>
      <c r="G48" s="24"/>
    </row>
    <row r="49" spans="1:7" s="25" customFormat="1">
      <c r="A49" s="72"/>
      <c r="B49" s="27"/>
      <c r="C49" s="37"/>
      <c r="D49" s="40"/>
      <c r="E49" s="93"/>
      <c r="F49" s="75"/>
      <c r="G49" s="24"/>
    </row>
    <row r="50" spans="1:7" s="25" customFormat="1">
      <c r="A50" s="72"/>
      <c r="B50" s="27"/>
      <c r="C50" s="37"/>
      <c r="D50" s="40"/>
      <c r="E50" s="93"/>
      <c r="F50" s="75"/>
      <c r="G50" s="24"/>
    </row>
    <row r="51" spans="1:7" s="25" customFormat="1">
      <c r="A51" s="72"/>
      <c r="B51" s="27"/>
      <c r="C51" s="37"/>
      <c r="D51" s="40"/>
      <c r="E51" s="93"/>
      <c r="F51" s="75"/>
      <c r="G51" s="24"/>
    </row>
    <row r="52" spans="1:7" s="25" customFormat="1">
      <c r="A52" s="72"/>
      <c r="B52" s="27"/>
      <c r="C52" s="37"/>
      <c r="D52" s="40"/>
      <c r="E52" s="93"/>
      <c r="F52" s="75"/>
      <c r="G52" s="24"/>
    </row>
    <row r="53" spans="1:7" s="25" customFormat="1">
      <c r="A53" s="71"/>
      <c r="B53" s="27"/>
      <c r="C53" s="37"/>
      <c r="D53" s="40"/>
      <c r="E53" s="56"/>
      <c r="F53" s="75"/>
      <c r="G53" s="24"/>
    </row>
    <row r="54" spans="1:7" s="25" customFormat="1">
      <c r="A54" s="71"/>
      <c r="B54" s="27"/>
      <c r="C54" s="37"/>
      <c r="D54" s="40"/>
      <c r="E54" s="56"/>
      <c r="F54" s="75"/>
      <c r="G54" s="24"/>
    </row>
    <row r="55" spans="1:7" s="25" customFormat="1">
      <c r="A55" s="71"/>
      <c r="B55" s="27"/>
      <c r="C55" s="37"/>
      <c r="D55" s="40"/>
      <c r="E55" s="56"/>
      <c r="F55" s="75"/>
      <c r="G55" s="24"/>
    </row>
    <row r="56" spans="1:7" s="25" customFormat="1">
      <c r="A56" s="71"/>
      <c r="B56" s="27"/>
      <c r="C56" s="37"/>
      <c r="D56" s="40"/>
      <c r="E56" s="56"/>
      <c r="F56" s="75"/>
      <c r="G56" s="24"/>
    </row>
    <row r="57" spans="1:7" s="25" customFormat="1">
      <c r="A57" s="71"/>
      <c r="B57" s="27"/>
      <c r="C57" s="37"/>
      <c r="D57" s="40"/>
      <c r="E57" s="56"/>
      <c r="F57" s="75"/>
      <c r="G57" s="24"/>
    </row>
    <row r="58" spans="1:7">
      <c r="A58" s="72"/>
      <c r="B58" s="27"/>
      <c r="C58" s="37"/>
      <c r="D58" s="40"/>
      <c r="E58" s="56"/>
      <c r="F58" s="75"/>
      <c r="G58" s="2"/>
    </row>
    <row r="59" spans="1:7">
      <c r="A59" s="73"/>
      <c r="B59" s="27"/>
      <c r="C59" s="36"/>
      <c r="D59" s="39"/>
      <c r="E59" s="57"/>
      <c r="F59" s="75"/>
      <c r="G59" s="2"/>
    </row>
    <row r="60" spans="1:7">
      <c r="A60" s="73"/>
      <c r="B60" s="3"/>
      <c r="C60" s="36"/>
      <c r="D60" s="39"/>
      <c r="E60" s="58"/>
      <c r="F60" s="76"/>
      <c r="G60" s="2"/>
    </row>
    <row r="61" spans="1:7" ht="16.2" thickBot="1">
      <c r="A61" s="74"/>
      <c r="B61" s="21"/>
      <c r="C61" s="38"/>
      <c r="D61" s="41"/>
      <c r="E61" s="59"/>
      <c r="F61" s="77"/>
      <c r="G61" s="2"/>
    </row>
    <row r="62" spans="1:7">
      <c r="A62" s="74"/>
      <c r="B62" s="83"/>
      <c r="C62" s="84" t="s">
        <v>17</v>
      </c>
      <c r="D62" s="85"/>
      <c r="E62" s="84"/>
      <c r="F62" s="86">
        <f>SUM(F15:F61)</f>
        <v>0</v>
      </c>
      <c r="G62" s="2"/>
    </row>
    <row r="63" spans="1:7">
      <c r="A63" s="18" t="s">
        <v>7</v>
      </c>
      <c r="B63" s="11"/>
      <c r="C63" s="22" t="s">
        <v>14</v>
      </c>
      <c r="D63" s="11"/>
      <c r="E63" s="2"/>
      <c r="F63" s="2"/>
      <c r="G63" s="2"/>
    </row>
    <row r="64" spans="1:7">
      <c r="A64" s="11" t="s">
        <v>18</v>
      </c>
      <c r="B64" s="11"/>
      <c r="C64" s="22" t="s">
        <v>35</v>
      </c>
      <c r="D64" s="11"/>
      <c r="E64" s="2"/>
      <c r="F64" s="2"/>
      <c r="G64" s="2"/>
    </row>
    <row r="65" spans="1:7">
      <c r="A65" s="11"/>
      <c r="B65" s="11"/>
      <c r="C65" s="22" t="s">
        <v>36</v>
      </c>
      <c r="D65" s="11"/>
      <c r="E65" s="2"/>
      <c r="F65" s="2"/>
      <c r="G65" s="2"/>
    </row>
    <row r="66" spans="1:7">
      <c r="A66" s="23"/>
      <c r="B66" s="11"/>
      <c r="C66" s="22" t="s">
        <v>37</v>
      </c>
      <c r="D66" s="11"/>
      <c r="E66" s="2"/>
      <c r="F66" s="2"/>
      <c r="G66" s="2"/>
    </row>
    <row r="67" spans="1:7">
      <c r="A67" s="23"/>
      <c r="B67" s="11"/>
      <c r="C67" s="22"/>
      <c r="D67" s="11"/>
      <c r="E67" s="2"/>
      <c r="F67" s="2"/>
      <c r="G67" s="2"/>
    </row>
    <row r="68" spans="1:7">
      <c r="B68" s="11"/>
      <c r="C68" s="11"/>
      <c r="D68" s="11"/>
      <c r="E68" s="2"/>
      <c r="F68" s="2"/>
      <c r="G68" s="2"/>
    </row>
    <row r="69" spans="1:7">
      <c r="A69" s="11"/>
      <c r="B69" s="11"/>
      <c r="C69" s="11"/>
      <c r="D69" s="11"/>
      <c r="E69" s="2"/>
      <c r="F69" s="2"/>
      <c r="G69" s="2"/>
    </row>
    <row r="70" spans="1:7">
      <c r="A70" s="11"/>
      <c r="B70" s="11"/>
      <c r="C70" s="11"/>
      <c r="D70" s="11"/>
      <c r="E70" s="2"/>
      <c r="F70" s="2"/>
      <c r="G70" s="2"/>
    </row>
    <row r="71" spans="1:7">
      <c r="A71" s="11" t="s">
        <v>8</v>
      </c>
      <c r="B71" s="11"/>
      <c r="C71" s="11" t="s">
        <v>10</v>
      </c>
      <c r="D71" s="11"/>
      <c r="E71" s="2"/>
      <c r="F71" s="5"/>
      <c r="G71" s="2"/>
    </row>
    <row r="72" spans="1:7">
      <c r="A72" s="11"/>
      <c r="B72" s="11"/>
      <c r="C72" s="11"/>
      <c r="D72" s="11"/>
      <c r="E72" s="2"/>
      <c r="F72" s="5"/>
      <c r="G72" s="2"/>
    </row>
    <row r="73" spans="1:7">
      <c r="B73" s="11"/>
      <c r="C73" s="11"/>
      <c r="D73" s="11"/>
      <c r="E73" s="2"/>
      <c r="F73" s="5"/>
      <c r="G73" s="2"/>
    </row>
    <row r="74" spans="1:7">
      <c r="B74" s="11"/>
      <c r="C74" s="11"/>
      <c r="D74" s="11"/>
      <c r="E74" s="2"/>
      <c r="F74" s="5"/>
      <c r="G74" s="2"/>
    </row>
    <row r="75" spans="1:7">
      <c r="A75" s="11"/>
      <c r="B75" s="19"/>
      <c r="C75" s="11"/>
      <c r="D75" s="11"/>
      <c r="E75" s="2"/>
      <c r="F75" s="5"/>
      <c r="G75" s="2"/>
    </row>
    <row r="76" spans="1:7">
      <c r="A76" s="20" t="s">
        <v>12</v>
      </c>
      <c r="B76" s="19"/>
      <c r="C76" s="20" t="s">
        <v>13</v>
      </c>
      <c r="D76" s="19"/>
      <c r="E76" s="2"/>
      <c r="F76" s="4"/>
      <c r="G76" s="2"/>
    </row>
    <row r="77" spans="1:7">
      <c r="A77" s="11" t="s">
        <v>9</v>
      </c>
      <c r="B77" s="11"/>
      <c r="C77" s="11" t="s">
        <v>38</v>
      </c>
      <c r="D77" s="11"/>
      <c r="E77" s="2"/>
      <c r="F77" s="5"/>
      <c r="G77" s="2"/>
    </row>
    <row r="78" spans="1:7">
      <c r="B78" s="11"/>
      <c r="C78" s="11" t="s">
        <v>11</v>
      </c>
      <c r="D78" s="11"/>
      <c r="E78" s="2"/>
      <c r="F78" s="5"/>
      <c r="G78" s="2"/>
    </row>
    <row r="79" spans="1:7">
      <c r="B79" s="2"/>
      <c r="C79" s="2"/>
      <c r="D79" s="2"/>
      <c r="E79" s="2"/>
      <c r="F79" s="5"/>
    </row>
  </sheetData>
  <phoneticPr fontId="1" type="noConversion"/>
  <pageMargins left="0.7" right="0.7" top="0.75" bottom="0.75" header="0.3" footer="0.3"/>
  <pageSetup paperSize="9" scale="64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78"/>
  <sheetViews>
    <sheetView tabSelected="1" topLeftCell="A55" zoomScaleNormal="100" workbookViewId="0">
      <selection activeCell="B77" sqref="B77"/>
    </sheetView>
  </sheetViews>
  <sheetFormatPr defaultColWidth="7.3984375" defaultRowHeight="15.6"/>
  <cols>
    <col min="1" max="1" width="13.59765625" customWidth="1"/>
    <col min="2" max="2" width="53.8984375" customWidth="1"/>
    <col min="3" max="3" width="9" customWidth="1"/>
    <col min="4" max="4" width="11.59765625" customWidth="1"/>
    <col min="5" max="5" width="13.5" customWidth="1"/>
    <col min="6" max="6" width="17.09765625" customWidth="1"/>
    <col min="9" max="9" width="15.09765625" bestFit="1" customWidth="1"/>
    <col min="10" max="10" width="13.59765625" bestFit="1" customWidth="1"/>
    <col min="11" max="11" width="13.59765625" customWidth="1"/>
    <col min="12" max="12" width="7.69921875" bestFit="1" customWidth="1"/>
  </cols>
  <sheetData>
    <row r="1" spans="1:11" ht="25.2" thickBot="1">
      <c r="A1" s="6"/>
      <c r="B1" s="30" t="str">
        <f>INDEX('cost table'!B1,1)</f>
        <v>*****有限公司</v>
      </c>
      <c r="C1" s="9"/>
      <c r="D1" s="9"/>
      <c r="E1" s="9"/>
      <c r="F1" s="9"/>
    </row>
    <row r="2" spans="1:11" ht="24.6">
      <c r="A2" s="8"/>
      <c r="B2" s="31" t="str">
        <f>INDEX('cost table'!B2,1)</f>
        <v>*****iors Co., Limited</v>
      </c>
    </row>
    <row r="3" spans="1:11" ht="19.8">
      <c r="A3" s="7"/>
      <c r="B3" s="32" t="str">
        <f>INDEX('cost table'!B3,1)</f>
        <v>*****號地下</v>
      </c>
    </row>
    <row r="4" spans="1:11" ht="19.8">
      <c r="A4" s="7"/>
      <c r="B4" s="32" t="str">
        <f>INDEX('cost table'!B4,1)</f>
        <v>*****rt Road, Wan Chai, Hong Kong</v>
      </c>
    </row>
    <row r="5" spans="1:11" ht="20.399999999999999" thickBot="1">
      <c r="A5" s="7"/>
      <c r="B5" s="32" t="str">
        <f>INDEX('cost table'!B5,1)</f>
        <v>Tel: 6484-XXXX   Fax: 2802-XXXX</v>
      </c>
    </row>
    <row r="6" spans="1:11">
      <c r="A6" s="11"/>
      <c r="B6" s="11"/>
      <c r="C6" s="11"/>
      <c r="D6" s="11"/>
      <c r="E6" s="12" t="str">
        <f>INDEX('cost table'!E6,1)</f>
        <v>Invoice No.</v>
      </c>
      <c r="F6" s="69">
        <f>INDEX('cost table'!F6,1)</f>
        <v>0</v>
      </c>
    </row>
    <row r="7" spans="1:11">
      <c r="A7" s="11"/>
      <c r="B7" s="11"/>
      <c r="C7" s="11"/>
      <c r="D7" s="11"/>
      <c r="E7" s="14"/>
      <c r="F7" s="14"/>
    </row>
    <row r="8" spans="1:11" ht="16.2" thickBot="1">
      <c r="A8" s="11"/>
      <c r="B8" s="11"/>
      <c r="C8" s="11"/>
      <c r="D8" s="11"/>
      <c r="E8" s="16" t="s">
        <v>0</v>
      </c>
      <c r="F8" s="68">
        <f ca="1">TODAY()</f>
        <v>44599</v>
      </c>
    </row>
    <row r="9" spans="1:11" ht="24.6">
      <c r="A9" s="11"/>
      <c r="B9" s="33" t="str">
        <f>INDEX('cost table'!B9,1)</f>
        <v>INVOICE</v>
      </c>
      <c r="C9" s="10"/>
      <c r="D9" s="17"/>
      <c r="E9" s="11"/>
      <c r="F9" s="11"/>
    </row>
    <row r="10" spans="1:11">
      <c r="A10" s="11" t="s">
        <v>15</v>
      </c>
      <c r="B10" s="49">
        <f>INDEX('cost table'!B10,1)</f>
        <v>0</v>
      </c>
      <c r="C10" s="11"/>
      <c r="D10" s="11"/>
      <c r="E10" s="11"/>
      <c r="F10" s="11"/>
      <c r="I10" s="61" t="s">
        <v>24</v>
      </c>
      <c r="J10" s="52">
        <v>0.15</v>
      </c>
      <c r="K10" s="62"/>
    </row>
    <row r="11" spans="1:11">
      <c r="A11" t="s">
        <v>22</v>
      </c>
      <c r="B11" s="49">
        <f>INDEX('cost table'!B11,1)</f>
        <v>0</v>
      </c>
      <c r="C11" s="11"/>
      <c r="D11" s="11"/>
      <c r="E11" s="11"/>
      <c r="F11" s="11"/>
      <c r="I11" s="54" t="s">
        <v>23</v>
      </c>
      <c r="J11" s="53">
        <f>1+J10</f>
        <v>1.1499999999999999</v>
      </c>
      <c r="K11" s="1"/>
    </row>
    <row r="12" spans="1:11">
      <c r="A12" s="11" t="s">
        <v>16</v>
      </c>
      <c r="B12" s="49">
        <f>INDEX('cost table'!B12,1)</f>
        <v>0</v>
      </c>
      <c r="C12" s="11"/>
      <c r="D12" s="11"/>
      <c r="E12" s="11"/>
      <c r="F12" s="11"/>
    </row>
    <row r="13" spans="1:11">
      <c r="A13" s="11" t="s">
        <v>19</v>
      </c>
      <c r="B13" s="49">
        <f>INDEX('cost table'!B13,1)</f>
        <v>0</v>
      </c>
      <c r="C13" s="2"/>
      <c r="D13" s="2"/>
      <c r="E13" s="2"/>
      <c r="F13" s="2"/>
    </row>
    <row r="14" spans="1:11" ht="28.2" thickBot="1">
      <c r="A14" s="78" t="s">
        <v>1</v>
      </c>
      <c r="B14" s="78" t="s">
        <v>2</v>
      </c>
      <c r="C14" s="79" t="s">
        <v>3</v>
      </c>
      <c r="D14" s="80" t="s">
        <v>4</v>
      </c>
      <c r="E14" s="80" t="s">
        <v>5</v>
      </c>
      <c r="F14" s="79" t="s">
        <v>6</v>
      </c>
    </row>
    <row r="15" spans="1:11">
      <c r="A15" s="70">
        <f>INDEX(表格2[[#This Row],[項目
Item]],1)</f>
        <v>0</v>
      </c>
      <c r="B15" s="49">
        <f>INDEX(表格2[[#This Row],[工程説明
Description]],1)</f>
        <v>0</v>
      </c>
      <c r="C15" s="46">
        <f>INDEX(表格2[[#This Row],[數量
QTY]],1)</f>
        <v>0</v>
      </c>
      <c r="D15" s="48">
        <f>INDEX(表格2[[#This Row],[單位
Unit]],1)</f>
        <v>0</v>
      </c>
      <c r="E15" s="55">
        <f>INDEX(表格2[[#This Row],[單價
Rate]],1)*$J$11</f>
        <v>0</v>
      </c>
      <c r="F15" s="87">
        <f>INDEX(表格2[[#This Row],[總額
Amount]],1)*$J$11</f>
        <v>0</v>
      </c>
      <c r="I15" s="63" t="s">
        <v>25</v>
      </c>
    </row>
    <row r="16" spans="1:11">
      <c r="A16" s="71">
        <f>INDEX(表格2[[#This Row],[項目
Item]],1)</f>
        <v>0</v>
      </c>
      <c r="B16" s="49">
        <f>INDEX(表格2[[#This Row],[工程説明
Description]],1)</f>
        <v>0</v>
      </c>
      <c r="C16" s="47">
        <f>INDEX(表格2[[#This Row],[數量
QTY]],1)</f>
        <v>0</v>
      </c>
      <c r="D16" s="28">
        <f>INDEX(表格2[[#This Row],[單位
Unit]],1)</f>
        <v>0</v>
      </c>
      <c r="E16" s="55">
        <f>INDEX(表格2[[#This Row],[單價
Rate]],1)*$J$11</f>
        <v>0</v>
      </c>
      <c r="F16" s="87">
        <f>INDEX(表格2[[#This Row],[總額
Amount]],1)*$J$11</f>
        <v>0</v>
      </c>
    </row>
    <row r="17" spans="1:12">
      <c r="A17" s="71">
        <f>INDEX(表格2[[#This Row],[項目
Item]],1)</f>
        <v>0</v>
      </c>
      <c r="B17" s="49">
        <f>INDEX(表格2[[#This Row],[工程説明
Description]],1)</f>
        <v>0</v>
      </c>
      <c r="C17" s="47">
        <f>INDEX(表格2[[#This Row],[數量
QTY]],1)</f>
        <v>0</v>
      </c>
      <c r="D17" s="28">
        <f>INDEX(表格2[[#This Row],[單位
Unit]],1)</f>
        <v>0</v>
      </c>
      <c r="E17" s="55">
        <f>INDEX(表格2[[#This Row],[單價
Rate]],1)*$J$11</f>
        <v>0</v>
      </c>
      <c r="F17" s="87">
        <f>INDEX(表格2[[#This Row],[總額
Amount]],1)*$J$11</f>
        <v>0</v>
      </c>
      <c r="I17" s="53" t="s">
        <v>26</v>
      </c>
      <c r="J17" s="53" t="s">
        <v>27</v>
      </c>
      <c r="K17" s="53" t="s">
        <v>29</v>
      </c>
      <c r="L17" s="53" t="s">
        <v>28</v>
      </c>
    </row>
    <row r="18" spans="1:12">
      <c r="A18" s="71">
        <f>INDEX(表格2[[#This Row],[項目
Item]],1)</f>
        <v>0</v>
      </c>
      <c r="B18" s="49">
        <f>INDEX(表格2[[#This Row],[工程説明
Description]],1)</f>
        <v>0</v>
      </c>
      <c r="C18" s="47">
        <f>INDEX(表格2[[#This Row],[數量
QTY]],1)</f>
        <v>0</v>
      </c>
      <c r="D18" s="28">
        <f>INDEX(表格2[[#This Row],[單位
Unit]],1)</f>
        <v>0</v>
      </c>
      <c r="E18" s="55">
        <f>INDEX(表格2[[#This Row],[單價
Rate]],1)*$J$11</f>
        <v>0</v>
      </c>
      <c r="F18" s="87">
        <f>INDEX(表格2[[#This Row],[總額
Amount]],1)*$J$11</f>
        <v>0</v>
      </c>
      <c r="I18" s="65"/>
      <c r="J18" s="66"/>
      <c r="K18" s="65" t="e">
        <f>VLOOKUP($I18,表格2[#All],5)*(1+I18)</f>
        <v>#N/A</v>
      </c>
      <c r="L18" s="65" t="e">
        <f>VLOOKUP($I18,表格2[#All],6)*(1+J18)</f>
        <v>#N/A</v>
      </c>
    </row>
    <row r="19" spans="1:12">
      <c r="A19" s="71">
        <f>INDEX(表格2[[#This Row],[項目
Item]],1)</f>
        <v>0</v>
      </c>
      <c r="B19" s="49">
        <f>INDEX(表格2[[#This Row],[工程説明
Description]],1)</f>
        <v>0</v>
      </c>
      <c r="C19" s="47">
        <f>INDEX(表格2[[#This Row],[數量
QTY]],1)</f>
        <v>0</v>
      </c>
      <c r="D19" s="28">
        <f>INDEX(表格2[[#This Row],[單位
Unit]],1)</f>
        <v>0</v>
      </c>
      <c r="E19" s="55">
        <f>INDEX(表格2[[#This Row],[單價
Rate]],1)*$J$11</f>
        <v>0</v>
      </c>
      <c r="F19" s="87">
        <f>INDEX(表格2[[#This Row],[總額
Amount]],1)*$J$11</f>
        <v>0</v>
      </c>
      <c r="I19" s="65"/>
      <c r="J19" s="66"/>
      <c r="K19" s="65" t="e">
        <f>VLOOKUP($I19,表格2[#All],5)*(1+I19)</f>
        <v>#N/A</v>
      </c>
      <c r="L19" s="65" t="e">
        <f>VLOOKUP($I19,表格2[#All],6)*(1+J19)</f>
        <v>#N/A</v>
      </c>
    </row>
    <row r="20" spans="1:12">
      <c r="A20" s="71">
        <f>INDEX(表格2[[#This Row],[項目
Item]],1)</f>
        <v>0</v>
      </c>
      <c r="B20" s="49">
        <f>INDEX(表格2[[#This Row],[工程説明
Description]],1)</f>
        <v>0</v>
      </c>
      <c r="C20" s="47">
        <f>INDEX(表格2[[#This Row],[數量
QTY]],1)</f>
        <v>0</v>
      </c>
      <c r="D20" s="28">
        <f>INDEX(表格2[[#This Row],[單位
Unit]],1)</f>
        <v>0</v>
      </c>
      <c r="E20" s="55">
        <f>INDEX(表格2[[#This Row],[單價
Rate]],1)*$J$11</f>
        <v>0</v>
      </c>
      <c r="F20" s="87">
        <f>INDEX(表格2[[#This Row],[總額
Amount]],1)*$J$11</f>
        <v>0</v>
      </c>
      <c r="I20" s="65"/>
      <c r="J20" s="66"/>
      <c r="K20" s="65" t="e">
        <f>VLOOKUP($I20,表格2[#All],5)*(1+I20)</f>
        <v>#N/A</v>
      </c>
      <c r="L20" s="65" t="e">
        <f>VLOOKUP($I20,表格2[#All],6)*(1+J20)</f>
        <v>#N/A</v>
      </c>
    </row>
    <row r="21" spans="1:12">
      <c r="A21" s="71">
        <f>INDEX(表格2[[#This Row],[項目
Item]],1)</f>
        <v>0</v>
      </c>
      <c r="B21" s="49">
        <f>INDEX(表格2[[#This Row],[工程説明
Description]],1)</f>
        <v>0</v>
      </c>
      <c r="C21" s="47">
        <f>INDEX(表格2[[#This Row],[數量
QTY]],1)</f>
        <v>0</v>
      </c>
      <c r="D21" s="28">
        <f>INDEX(表格2[[#This Row],[單位
Unit]],1)</f>
        <v>0</v>
      </c>
      <c r="E21" s="55">
        <f>INDEX(表格2[[#This Row],[單價
Rate]],1)*$J$11</f>
        <v>0</v>
      </c>
      <c r="F21" s="87">
        <f>INDEX(表格2[[#This Row],[總額
Amount]],1)*$J$11</f>
        <v>0</v>
      </c>
      <c r="I21" s="65"/>
      <c r="J21" s="66"/>
      <c r="K21" s="65" t="e">
        <f>VLOOKUP($I21,表格2[#All],5)*(1+I21)</f>
        <v>#N/A</v>
      </c>
      <c r="L21" s="65" t="e">
        <f>VLOOKUP($I21,表格2[#All],6)*(1+J21)</f>
        <v>#N/A</v>
      </c>
    </row>
    <row r="22" spans="1:12">
      <c r="A22" s="71">
        <f>INDEX(表格2[[#This Row],[項目
Item]],1)</f>
        <v>0</v>
      </c>
      <c r="B22" s="49">
        <f>INDEX(表格2[[#This Row],[工程説明
Description]],1)</f>
        <v>0</v>
      </c>
      <c r="C22" s="47">
        <f>INDEX(表格2[[#This Row],[數量
QTY]],1)</f>
        <v>0</v>
      </c>
      <c r="D22" s="28">
        <f>INDEX(表格2[[#This Row],[單位
Unit]],1)</f>
        <v>0</v>
      </c>
      <c r="E22" s="55">
        <f>INDEX(表格2[[#This Row],[單價
Rate]],1)*$J$11</f>
        <v>0</v>
      </c>
      <c r="F22" s="87">
        <f>INDEX(表格2[[#This Row],[總額
Amount]],1)*$J$11</f>
        <v>0</v>
      </c>
      <c r="I22" s="65"/>
      <c r="J22" s="66"/>
      <c r="K22" s="65" t="e">
        <f>VLOOKUP($I22,表格2[#All],5)*(1+I22)</f>
        <v>#N/A</v>
      </c>
      <c r="L22" s="65" t="e">
        <f>VLOOKUP($I22,表格2[#All],6)*(1+J22)</f>
        <v>#N/A</v>
      </c>
    </row>
    <row r="23" spans="1:12">
      <c r="A23" s="71">
        <f>INDEX(表格2[[#This Row],[項目
Item]],1)</f>
        <v>0</v>
      </c>
      <c r="B23" s="49">
        <f>INDEX(表格2[[#This Row],[工程説明
Description]],1)</f>
        <v>0</v>
      </c>
      <c r="C23" s="47">
        <f>INDEX(表格2[[#This Row],[數量
QTY]],1)</f>
        <v>0</v>
      </c>
      <c r="D23" s="28">
        <f>INDEX(表格2[[#This Row],[單位
Unit]],1)</f>
        <v>0</v>
      </c>
      <c r="E23" s="55">
        <f>INDEX(表格2[[#This Row],[單價
Rate]],1)*$J$11</f>
        <v>0</v>
      </c>
      <c r="F23" s="87">
        <f>INDEX(表格2[[#This Row],[總額
Amount]],1)*$J$11</f>
        <v>0</v>
      </c>
      <c r="I23" s="65"/>
      <c r="J23" s="66"/>
      <c r="K23" s="65" t="e">
        <f>VLOOKUP($I23,表格2[#All],5)*(1+I23)</f>
        <v>#N/A</v>
      </c>
      <c r="L23" s="65" t="e">
        <f>VLOOKUP($I23,表格2[#All],6)*(1+J23)</f>
        <v>#N/A</v>
      </c>
    </row>
    <row r="24" spans="1:12">
      <c r="A24" s="71">
        <f>INDEX(表格2[[#This Row],[項目
Item]],1)</f>
        <v>0</v>
      </c>
      <c r="B24" s="49">
        <f>INDEX(表格2[[#This Row],[工程説明
Description]],1)</f>
        <v>0</v>
      </c>
      <c r="C24" s="47">
        <f>INDEX(表格2[[#This Row],[數量
QTY]],1)</f>
        <v>0</v>
      </c>
      <c r="D24" s="28">
        <f>INDEX(表格2[[#This Row],[單位
Unit]],1)</f>
        <v>0</v>
      </c>
      <c r="E24" s="55">
        <f>INDEX(表格2[[#This Row],[單價
Rate]],1)*$J$11</f>
        <v>0</v>
      </c>
      <c r="F24" s="87">
        <f>INDEX(表格2[[#This Row],[總額
Amount]],1)*$J$11</f>
        <v>0</v>
      </c>
      <c r="I24" s="65"/>
      <c r="J24" s="66"/>
      <c r="K24" s="65" t="e">
        <f>VLOOKUP($I24,表格2[#All],5)*(1+I24)</f>
        <v>#N/A</v>
      </c>
      <c r="L24" s="65" t="e">
        <f>VLOOKUP($I24,表格2[#All],6)*(1+J24)</f>
        <v>#N/A</v>
      </c>
    </row>
    <row r="25" spans="1:12">
      <c r="A25" s="71">
        <f>INDEX(表格2[[#This Row],[項目
Item]],1)</f>
        <v>0</v>
      </c>
      <c r="B25" s="49">
        <f>INDEX(表格2[[#This Row],[工程説明
Description]],1)</f>
        <v>0</v>
      </c>
      <c r="C25" s="47">
        <f>INDEX(表格2[[#This Row],[數量
QTY]],1)</f>
        <v>0</v>
      </c>
      <c r="D25" s="28">
        <f>INDEX(表格2[[#This Row],[單位
Unit]],1)</f>
        <v>0</v>
      </c>
      <c r="E25" s="55">
        <f>INDEX(表格2[[#This Row],[單價
Rate]],1)*$J$11</f>
        <v>0</v>
      </c>
      <c r="F25" s="87">
        <f>INDEX(表格2[[#This Row],[總額
Amount]],1)*$J$11</f>
        <v>0</v>
      </c>
      <c r="I25" s="65"/>
      <c r="J25" s="65"/>
      <c r="K25" s="65" t="e">
        <f>VLOOKUP($I25,表格2[#All],5)*(1+I25)</f>
        <v>#N/A</v>
      </c>
      <c r="L25" s="65" t="e">
        <f>VLOOKUP($I25,表格2[#All],6)*(1+J25)</f>
        <v>#N/A</v>
      </c>
    </row>
    <row r="26" spans="1:12">
      <c r="A26" s="71">
        <f>INDEX(表格2[[#This Row],[項目
Item]],1)</f>
        <v>0</v>
      </c>
      <c r="B26" s="49">
        <f>INDEX(表格2[[#This Row],[工程説明
Description]],1)</f>
        <v>0</v>
      </c>
      <c r="C26" s="47">
        <f>INDEX(表格2[[#This Row],[數量
QTY]],1)</f>
        <v>0</v>
      </c>
      <c r="D26" s="28">
        <f>INDEX(表格2[[#This Row],[單位
Unit]],1)</f>
        <v>0</v>
      </c>
      <c r="E26" s="55">
        <f>INDEX(表格2[[#This Row],[單價
Rate]],1)*$J$11</f>
        <v>0</v>
      </c>
      <c r="F26" s="87">
        <f>INDEX(表格2[[#This Row],[總額
Amount]],1)*$J$11</f>
        <v>0</v>
      </c>
      <c r="I26" s="67"/>
      <c r="J26" s="67"/>
      <c r="K26" s="67" t="e">
        <f>VLOOKUP($I26,表格2[#All],5)*(1+I26)</f>
        <v>#N/A</v>
      </c>
      <c r="L26" s="67" t="e">
        <f>VLOOKUP($I26,表格2[#All],6)*(1+J26)</f>
        <v>#N/A</v>
      </c>
    </row>
    <row r="27" spans="1:12">
      <c r="A27" s="71">
        <f>INDEX(表格2[[#This Row],[項目
Item]],1)</f>
        <v>0</v>
      </c>
      <c r="B27" s="49">
        <f>INDEX(表格2[[#This Row],[工程説明
Description]],1)</f>
        <v>0</v>
      </c>
      <c r="C27" s="47">
        <f>INDEX(表格2[[#This Row],[數量
QTY]],1)</f>
        <v>0</v>
      </c>
      <c r="D27" s="28">
        <f>INDEX(表格2[[#This Row],[單位
Unit]],1)</f>
        <v>0</v>
      </c>
      <c r="E27" s="55">
        <f>INDEX(表格2[[#This Row],[單價
Rate]],1)*$J$11</f>
        <v>0</v>
      </c>
      <c r="F27" s="87">
        <f>INDEX(表格2[[#This Row],[總額
Amount]],1)*$J$11</f>
        <v>0</v>
      </c>
    </row>
    <row r="28" spans="1:12">
      <c r="A28" s="71">
        <f>INDEX(表格2[[#This Row],[項目
Item]],1)</f>
        <v>0</v>
      </c>
      <c r="B28" s="49">
        <f>INDEX(表格2[[#This Row],[工程説明
Description]],1)</f>
        <v>0</v>
      </c>
      <c r="C28" s="47">
        <f>INDEX(表格2[[#This Row],[數量
QTY]],1)</f>
        <v>0</v>
      </c>
      <c r="D28" s="28">
        <f>INDEX(表格2[[#This Row],[單位
Unit]],1)</f>
        <v>0</v>
      </c>
      <c r="E28" s="55">
        <f>INDEX(表格2[[#This Row],[單價
Rate]],1)*$J$11</f>
        <v>0</v>
      </c>
      <c r="F28" s="87">
        <f>INDEX(表格2[[#This Row],[總額
Amount]],1)*$J$11</f>
        <v>0</v>
      </c>
    </row>
    <row r="29" spans="1:12">
      <c r="A29" s="71">
        <f>INDEX(表格2[[#This Row],[項目
Item]],1)</f>
        <v>0</v>
      </c>
      <c r="B29" s="49">
        <f>INDEX(表格2[[#This Row],[工程説明
Description]],1)</f>
        <v>0</v>
      </c>
      <c r="C29" s="47">
        <f>INDEX(表格2[[#This Row],[數量
QTY]],1)</f>
        <v>0</v>
      </c>
      <c r="D29" s="28">
        <f>INDEX(表格2[[#This Row],[單位
Unit]],1)</f>
        <v>0</v>
      </c>
      <c r="E29" s="55">
        <f>INDEX(表格2[[#This Row],[單價
Rate]],1)*$J$11</f>
        <v>0</v>
      </c>
      <c r="F29" s="87">
        <f>INDEX(表格2[[#This Row],[總額
Amount]],1)*$J$11</f>
        <v>0</v>
      </c>
    </row>
    <row r="30" spans="1:12">
      <c r="A30" s="71">
        <f>INDEX(表格2[[#This Row],[項目
Item]],1)</f>
        <v>0</v>
      </c>
      <c r="B30" s="49">
        <f>INDEX(表格2[[#This Row],[工程説明
Description]],1)</f>
        <v>0</v>
      </c>
      <c r="C30" s="47">
        <f>INDEX(表格2[[#This Row],[數量
QTY]],1)</f>
        <v>0</v>
      </c>
      <c r="D30" s="28">
        <f>INDEX(表格2[[#This Row],[單位
Unit]],1)</f>
        <v>0</v>
      </c>
      <c r="E30" s="55">
        <f>INDEX(表格2[[#This Row],[單價
Rate]],1)*$J$11</f>
        <v>0</v>
      </c>
      <c r="F30" s="87">
        <f>INDEX(表格2[[#This Row],[總額
Amount]],1)*$J$11</f>
        <v>0</v>
      </c>
    </row>
    <row r="31" spans="1:12">
      <c r="A31" s="71">
        <f>INDEX(表格2[[#This Row],[項目
Item]],1)</f>
        <v>0</v>
      </c>
      <c r="B31" s="49">
        <f>INDEX(表格2[[#This Row],[工程説明
Description]],1)</f>
        <v>0</v>
      </c>
      <c r="C31" s="47">
        <f>INDEX(表格2[[#This Row],[數量
QTY]],1)</f>
        <v>0</v>
      </c>
      <c r="D31" s="28">
        <f>INDEX(表格2[[#This Row],[單位
Unit]],1)</f>
        <v>0</v>
      </c>
      <c r="E31" s="55">
        <f>INDEX(表格2[[#This Row],[單價
Rate]],1)*$J$11</f>
        <v>0</v>
      </c>
      <c r="F31" s="87">
        <f>INDEX(表格2[[#This Row],[總額
Amount]],1)*$J$11</f>
        <v>0</v>
      </c>
    </row>
    <row r="32" spans="1:12">
      <c r="A32" s="71">
        <f>INDEX(表格2[[#This Row],[項目
Item]],1)</f>
        <v>0</v>
      </c>
      <c r="B32" s="49">
        <f>INDEX(表格2[[#This Row],[工程説明
Description]],1)</f>
        <v>0</v>
      </c>
      <c r="C32" s="47">
        <f>INDEX(表格2[[#This Row],[數量
QTY]],1)</f>
        <v>0</v>
      </c>
      <c r="D32" s="28">
        <f>INDEX(表格2[[#This Row],[單位
Unit]],1)</f>
        <v>0</v>
      </c>
      <c r="E32" s="55">
        <f>INDEX(表格2[[#This Row],[單價
Rate]],1)*$J$11</f>
        <v>0</v>
      </c>
      <c r="F32" s="87">
        <f>INDEX(表格2[[#This Row],[總額
Amount]],1)*$J$11</f>
        <v>0</v>
      </c>
    </row>
    <row r="33" spans="1:6">
      <c r="A33" s="71">
        <f>INDEX(表格2[[#This Row],[項目
Item]],1)</f>
        <v>0</v>
      </c>
      <c r="B33" s="49">
        <f>INDEX(表格2[[#This Row],[工程説明
Description]],1)</f>
        <v>0</v>
      </c>
      <c r="C33" s="47">
        <f>INDEX(表格2[[#This Row],[數量
QTY]],1)</f>
        <v>0</v>
      </c>
      <c r="D33" s="28">
        <f>INDEX(表格2[[#This Row],[單位
Unit]],1)</f>
        <v>0</v>
      </c>
      <c r="E33" s="55">
        <f>INDEX(表格2[[#This Row],[單價
Rate]],1)*$J$11</f>
        <v>0</v>
      </c>
      <c r="F33" s="87">
        <f>INDEX(表格2[[#This Row],[總額
Amount]],1)*$J$11</f>
        <v>0</v>
      </c>
    </row>
    <row r="34" spans="1:6">
      <c r="A34" s="71">
        <f>INDEX(表格2[[#This Row],[項目
Item]],1)</f>
        <v>0</v>
      </c>
      <c r="B34" s="49">
        <f>INDEX(表格2[[#This Row],[工程説明
Description]],1)</f>
        <v>0</v>
      </c>
      <c r="C34" s="47">
        <f>INDEX(表格2[[#This Row],[數量
QTY]],1)</f>
        <v>0</v>
      </c>
      <c r="D34" s="28">
        <f>INDEX(表格2[[#This Row],[單位
Unit]],1)</f>
        <v>0</v>
      </c>
      <c r="E34" s="55">
        <f>INDEX(表格2[[#This Row],[單價
Rate]],1)*$J$11</f>
        <v>0</v>
      </c>
      <c r="F34" s="87">
        <f>INDEX(表格2[[#This Row],[總額
Amount]],1)*$J$11</f>
        <v>0</v>
      </c>
    </row>
    <row r="35" spans="1:6">
      <c r="A35" s="71">
        <f>INDEX(表格2[[#This Row],[項目
Item]],1)</f>
        <v>0</v>
      </c>
      <c r="B35" s="49">
        <f>INDEX(表格2[[#This Row],[工程説明
Description]],1)</f>
        <v>0</v>
      </c>
      <c r="C35" s="47">
        <f>INDEX(表格2[[#This Row],[數量
QTY]],1)</f>
        <v>0</v>
      </c>
      <c r="D35" s="28">
        <f>INDEX(表格2[[#This Row],[單位
Unit]],1)</f>
        <v>0</v>
      </c>
      <c r="E35" s="55">
        <f>INDEX(表格2[[#This Row],[單價
Rate]],1)*$J$11</f>
        <v>0</v>
      </c>
      <c r="F35" s="87">
        <f>INDEX(表格2[[#This Row],[總額
Amount]],1)*$J$11</f>
        <v>0</v>
      </c>
    </row>
    <row r="36" spans="1:6">
      <c r="A36" s="71">
        <f>INDEX(表格2[[#This Row],[項目
Item]],1)</f>
        <v>0</v>
      </c>
      <c r="B36" s="49">
        <f>INDEX(表格2[[#This Row],[工程説明
Description]],1)</f>
        <v>0</v>
      </c>
      <c r="C36" s="47">
        <f>INDEX(表格2[[#This Row],[數量
QTY]],1)</f>
        <v>0</v>
      </c>
      <c r="D36" s="28">
        <f>INDEX(表格2[[#This Row],[單位
Unit]],1)</f>
        <v>0</v>
      </c>
      <c r="E36" s="55">
        <f>INDEX(表格2[[#This Row],[單價
Rate]],1)*$J$11</f>
        <v>0</v>
      </c>
      <c r="F36" s="87">
        <f>INDEX(表格2[[#This Row],[總額
Amount]],1)*$J$11</f>
        <v>0</v>
      </c>
    </row>
    <row r="37" spans="1:6">
      <c r="A37" s="71">
        <f>INDEX(表格2[[#This Row],[項目
Item]],1)</f>
        <v>0</v>
      </c>
      <c r="B37" s="49">
        <f>INDEX(表格2[[#This Row],[工程説明
Description]],1)</f>
        <v>0</v>
      </c>
      <c r="C37" s="47">
        <f>INDEX(表格2[[#This Row],[數量
QTY]],1)</f>
        <v>0</v>
      </c>
      <c r="D37" s="28">
        <f>INDEX(表格2[[#This Row],[單位
Unit]],1)</f>
        <v>0</v>
      </c>
      <c r="E37" s="55">
        <f>INDEX(表格2[[#This Row],[單價
Rate]],1)*$J$11</f>
        <v>0</v>
      </c>
      <c r="F37" s="87">
        <f>INDEX(表格2[[#This Row],[總額
Amount]],1)*$J$11</f>
        <v>0</v>
      </c>
    </row>
    <row r="38" spans="1:6">
      <c r="A38" s="71">
        <f>INDEX(表格2[[#This Row],[項目
Item]],1)</f>
        <v>0</v>
      </c>
      <c r="B38" s="49">
        <f>INDEX(表格2[[#This Row],[工程説明
Description]],1)</f>
        <v>0</v>
      </c>
      <c r="C38" s="47">
        <f>INDEX(表格2[[#This Row],[數量
QTY]],1)</f>
        <v>0</v>
      </c>
      <c r="D38" s="28">
        <f>INDEX(表格2[[#This Row],[單位
Unit]],1)</f>
        <v>0</v>
      </c>
      <c r="E38" s="55">
        <f>INDEX(表格2[[#This Row],[單價
Rate]],1)*$J$11</f>
        <v>0</v>
      </c>
      <c r="F38" s="87">
        <f>INDEX(表格2[[#This Row],[總額
Amount]],1)*$J$11</f>
        <v>0</v>
      </c>
    </row>
    <row r="39" spans="1:6">
      <c r="A39" s="71">
        <f>INDEX(表格2[[#This Row],[項目
Item]],1)</f>
        <v>0</v>
      </c>
      <c r="B39" s="49">
        <f>INDEX(表格2[[#This Row],[工程説明
Description]],1)</f>
        <v>0</v>
      </c>
      <c r="C39" s="47">
        <f>INDEX(表格2[[#This Row],[數量
QTY]],1)</f>
        <v>0</v>
      </c>
      <c r="D39" s="28">
        <f>INDEX(表格2[[#This Row],[單位
Unit]],1)</f>
        <v>0</v>
      </c>
      <c r="E39" s="55">
        <f>INDEX(表格2[[#This Row],[單價
Rate]],1)*$J$11</f>
        <v>0</v>
      </c>
      <c r="F39" s="87">
        <f>INDEX(表格2[[#This Row],[總額
Amount]],1)*$J$11</f>
        <v>0</v>
      </c>
    </row>
    <row r="40" spans="1:6">
      <c r="A40" s="71">
        <f>INDEX(表格2[[#This Row],[項目
Item]],1)</f>
        <v>0</v>
      </c>
      <c r="B40" s="49">
        <f>INDEX(表格2[[#This Row],[工程説明
Description]],1)</f>
        <v>0</v>
      </c>
      <c r="C40" s="47">
        <f>INDEX(表格2[[#This Row],[數量
QTY]],1)</f>
        <v>0</v>
      </c>
      <c r="D40" s="28">
        <f>INDEX(表格2[[#This Row],[單位
Unit]],1)</f>
        <v>0</v>
      </c>
      <c r="E40" s="55">
        <f>INDEX(表格2[[#This Row],[單價
Rate]],1)*$J$11</f>
        <v>0</v>
      </c>
      <c r="F40" s="87">
        <f>INDEX(表格2[[#This Row],[總額
Amount]],1)*$J$11</f>
        <v>0</v>
      </c>
    </row>
    <row r="41" spans="1:6">
      <c r="A41" s="71">
        <f>INDEX(表格2[[#This Row],[項目
Item]],1)</f>
        <v>0</v>
      </c>
      <c r="B41" s="49">
        <f>INDEX(表格2[[#This Row],[工程説明
Description]],1)</f>
        <v>0</v>
      </c>
      <c r="C41" s="47">
        <f>INDEX(表格2[[#This Row],[數量
QTY]],1)</f>
        <v>0</v>
      </c>
      <c r="D41" s="28">
        <f>INDEX(表格2[[#This Row],[單位
Unit]],1)</f>
        <v>0</v>
      </c>
      <c r="E41" s="55">
        <f>INDEX(表格2[[#This Row],[單價
Rate]],1)*$J$11</f>
        <v>0</v>
      </c>
      <c r="F41" s="87">
        <f>INDEX(表格2[[#This Row],[總額
Amount]],1)*$J$11</f>
        <v>0</v>
      </c>
    </row>
    <row r="42" spans="1:6">
      <c r="A42" s="71">
        <f>INDEX(表格2[[#This Row],[項目
Item]],1)</f>
        <v>0</v>
      </c>
      <c r="B42" s="49">
        <f>INDEX(表格2[[#This Row],[工程説明
Description]],1)</f>
        <v>0</v>
      </c>
      <c r="C42" s="47">
        <f>INDEX(表格2[[#This Row],[數量
QTY]],1)</f>
        <v>0</v>
      </c>
      <c r="D42" s="28">
        <f>INDEX(表格2[[#This Row],[單位
Unit]],1)</f>
        <v>0</v>
      </c>
      <c r="E42" s="55">
        <f>INDEX(表格2[[#This Row],[單價
Rate]],1)*$J$11</f>
        <v>0</v>
      </c>
      <c r="F42" s="87">
        <f>INDEX(表格2[[#This Row],[總額
Amount]],1)*$J$11</f>
        <v>0</v>
      </c>
    </row>
    <row r="43" spans="1:6">
      <c r="A43" s="71">
        <f>INDEX(表格2[[#This Row],[項目
Item]],1)</f>
        <v>0</v>
      </c>
      <c r="B43" s="49">
        <f>INDEX(表格2[[#This Row],[工程説明
Description]],1)</f>
        <v>0</v>
      </c>
      <c r="C43" s="47">
        <f>INDEX(表格2[[#This Row],[數量
QTY]],1)</f>
        <v>0</v>
      </c>
      <c r="D43" s="28">
        <f>INDEX(表格2[[#This Row],[單位
Unit]],1)</f>
        <v>0</v>
      </c>
      <c r="E43" s="55">
        <f>INDEX(表格2[[#This Row],[單價
Rate]],1)*$J$11</f>
        <v>0</v>
      </c>
      <c r="F43" s="87">
        <f>INDEX(表格2[[#This Row],[總額
Amount]],1)*$J$11</f>
        <v>0</v>
      </c>
    </row>
    <row r="44" spans="1:6">
      <c r="A44" s="71">
        <f>INDEX(表格2[[#This Row],[項目
Item]],1)</f>
        <v>0</v>
      </c>
      <c r="B44" s="49">
        <f>INDEX(表格2[[#This Row],[工程説明
Description]],1)</f>
        <v>0</v>
      </c>
      <c r="C44" s="47">
        <f>INDEX(表格2[[#This Row],[數量
QTY]],1)</f>
        <v>0</v>
      </c>
      <c r="D44" s="28">
        <f>INDEX(表格2[[#This Row],[單位
Unit]],1)</f>
        <v>0</v>
      </c>
      <c r="E44" s="55">
        <f>INDEX(表格2[[#This Row],[單價
Rate]],1)*$J$11</f>
        <v>0</v>
      </c>
      <c r="F44" s="87">
        <f>INDEX(表格2[[#This Row],[總額
Amount]],1)*$J$11</f>
        <v>0</v>
      </c>
    </row>
    <row r="45" spans="1:6">
      <c r="A45" s="71">
        <f>INDEX(表格2[[#This Row],[項目
Item]],1)</f>
        <v>0</v>
      </c>
      <c r="B45" s="49">
        <f>INDEX(表格2[[#This Row],[工程説明
Description]],1)</f>
        <v>0</v>
      </c>
      <c r="C45" s="47">
        <f>INDEX(表格2[[#This Row],[數量
QTY]],1)</f>
        <v>0</v>
      </c>
      <c r="D45" s="28">
        <f>INDEX(表格2[[#This Row],[單位
Unit]],1)</f>
        <v>0</v>
      </c>
      <c r="E45" s="55">
        <f>INDEX(表格2[[#This Row],[單價
Rate]],1)*$J$11</f>
        <v>0</v>
      </c>
      <c r="F45" s="87">
        <f>INDEX(表格2[[#This Row],[總額
Amount]],1)*$J$11</f>
        <v>0</v>
      </c>
    </row>
    <row r="46" spans="1:6">
      <c r="A46" s="71">
        <f>INDEX(表格2[[#This Row],[項目
Item]],1)</f>
        <v>0</v>
      </c>
      <c r="B46" s="49">
        <f>INDEX(表格2[[#This Row],[工程説明
Description]],1)</f>
        <v>0</v>
      </c>
      <c r="C46" s="47">
        <f>INDEX(表格2[[#This Row],[數量
QTY]],1)</f>
        <v>0</v>
      </c>
      <c r="D46" s="28">
        <f>INDEX(表格2[[#This Row],[單位
Unit]],1)</f>
        <v>0</v>
      </c>
      <c r="E46" s="55">
        <f>INDEX(表格2[[#This Row],[單價
Rate]],1)*$J$11</f>
        <v>0</v>
      </c>
      <c r="F46" s="87">
        <f>INDEX(表格2[[#This Row],[總額
Amount]],1)*$J$11</f>
        <v>0</v>
      </c>
    </row>
    <row r="47" spans="1:6">
      <c r="A47" s="71">
        <f>INDEX(表格2[[#This Row],[項目
Item]],1)</f>
        <v>0</v>
      </c>
      <c r="B47" s="49">
        <f>INDEX(表格2[[#This Row],[工程説明
Description]],1)</f>
        <v>0</v>
      </c>
      <c r="C47" s="47">
        <f>INDEX(表格2[[#This Row],[數量
QTY]],1)</f>
        <v>0</v>
      </c>
      <c r="D47" s="28">
        <f>INDEX(表格2[[#This Row],[單位
Unit]],1)</f>
        <v>0</v>
      </c>
      <c r="E47" s="55">
        <f>INDEX(表格2[[#This Row],[單價
Rate]],1)*$J$11</f>
        <v>0</v>
      </c>
      <c r="F47" s="87">
        <f>INDEX(表格2[[#This Row],[總額
Amount]],1)*$J$11</f>
        <v>0</v>
      </c>
    </row>
    <row r="48" spans="1:6">
      <c r="A48" s="71">
        <f>INDEX(表格2[[#This Row],[項目
Item]],1)</f>
        <v>0</v>
      </c>
      <c r="B48" s="49">
        <f>INDEX(表格2[[#This Row],[工程説明
Description]],1)</f>
        <v>0</v>
      </c>
      <c r="C48" s="47">
        <f>INDEX(表格2[[#This Row],[數量
QTY]],1)</f>
        <v>0</v>
      </c>
      <c r="D48" s="28">
        <f>INDEX(表格2[[#This Row],[單位
Unit]],1)</f>
        <v>0</v>
      </c>
      <c r="E48" s="55">
        <f>INDEX(表格2[[#This Row],[單價
Rate]],1)*$J$11</f>
        <v>0</v>
      </c>
      <c r="F48" s="87">
        <f>INDEX(表格2[[#This Row],[總額
Amount]],1)*$J$11</f>
        <v>0</v>
      </c>
    </row>
    <row r="49" spans="1:6">
      <c r="A49" s="71">
        <f>INDEX(表格2[[#This Row],[項目
Item]],1)</f>
        <v>0</v>
      </c>
      <c r="B49" s="49">
        <f>INDEX(表格2[[#This Row],[工程説明
Description]],1)</f>
        <v>0</v>
      </c>
      <c r="C49" s="47">
        <f>INDEX(表格2[[#This Row],[數量
QTY]],1)</f>
        <v>0</v>
      </c>
      <c r="D49" s="28">
        <f>INDEX(表格2[[#This Row],[單位
Unit]],1)</f>
        <v>0</v>
      </c>
      <c r="E49" s="55">
        <f>INDEX(表格2[[#This Row],[單價
Rate]],1)*$J$11</f>
        <v>0</v>
      </c>
      <c r="F49" s="87">
        <f>INDEX(表格2[[#This Row],[總額
Amount]],1)*$J$11</f>
        <v>0</v>
      </c>
    </row>
    <row r="50" spans="1:6">
      <c r="A50" s="71">
        <f>INDEX(表格2[[#This Row],[項目
Item]],1)</f>
        <v>0</v>
      </c>
      <c r="B50" s="49">
        <f>INDEX(表格2[[#This Row],[工程説明
Description]],1)</f>
        <v>0</v>
      </c>
      <c r="C50" s="47">
        <f>INDEX(表格2[[#This Row],[數量
QTY]],1)</f>
        <v>0</v>
      </c>
      <c r="D50" s="28">
        <f>INDEX(表格2[[#This Row],[單位
Unit]],1)</f>
        <v>0</v>
      </c>
      <c r="E50" s="55">
        <f>INDEX(表格2[[#This Row],[單價
Rate]],1)*$J$11</f>
        <v>0</v>
      </c>
      <c r="F50" s="87">
        <f>INDEX(表格2[[#This Row],[總額
Amount]],1)*$J$11</f>
        <v>0</v>
      </c>
    </row>
    <row r="51" spans="1:6">
      <c r="A51" s="71">
        <f>INDEX(表格2[[#This Row],[項目
Item]],1)</f>
        <v>0</v>
      </c>
      <c r="B51" s="49">
        <f>INDEX(表格2[[#This Row],[工程説明
Description]],1)</f>
        <v>0</v>
      </c>
      <c r="C51" s="47">
        <f>INDEX(表格2[[#This Row],[數量
QTY]],1)</f>
        <v>0</v>
      </c>
      <c r="D51" s="28">
        <f>INDEX(表格2[[#This Row],[單位
Unit]],1)</f>
        <v>0</v>
      </c>
      <c r="E51" s="55">
        <f>INDEX(表格2[[#This Row],[單價
Rate]],1)*$J$11</f>
        <v>0</v>
      </c>
      <c r="F51" s="87">
        <f>INDEX(表格2[[#This Row],[總額
Amount]],1)*$J$11</f>
        <v>0</v>
      </c>
    </row>
    <row r="52" spans="1:6">
      <c r="A52" s="71">
        <f>INDEX(表格2[[#This Row],[項目
Item]],1)</f>
        <v>0</v>
      </c>
      <c r="B52" s="49">
        <f>INDEX(表格2[[#This Row],[工程説明
Description]],1)</f>
        <v>0</v>
      </c>
      <c r="C52" s="47">
        <f>INDEX(表格2[[#This Row],[數量
QTY]],1)</f>
        <v>0</v>
      </c>
      <c r="D52" s="28">
        <f>INDEX(表格2[[#This Row],[單位
Unit]],1)</f>
        <v>0</v>
      </c>
      <c r="E52" s="55">
        <f>INDEX(表格2[[#This Row],[單價
Rate]],1)*$J$11</f>
        <v>0</v>
      </c>
      <c r="F52" s="87">
        <f>INDEX(表格2[[#This Row],[總額
Amount]],1)*$J$11</f>
        <v>0</v>
      </c>
    </row>
    <row r="53" spans="1:6">
      <c r="A53" s="71">
        <f>INDEX(表格2[[#This Row],[項目
Item]],1)</f>
        <v>0</v>
      </c>
      <c r="B53" s="49">
        <f>INDEX(表格2[[#This Row],[工程説明
Description]],1)</f>
        <v>0</v>
      </c>
      <c r="C53" s="47">
        <f>INDEX(表格2[[#This Row],[數量
QTY]],1)</f>
        <v>0</v>
      </c>
      <c r="D53" s="28">
        <f>INDEX(表格2[[#This Row],[單位
Unit]],1)</f>
        <v>0</v>
      </c>
      <c r="E53" s="55">
        <f>INDEX(表格2[[#This Row],[單價
Rate]],1)*$J$11</f>
        <v>0</v>
      </c>
      <c r="F53" s="87">
        <f>INDEX(表格2[[#This Row],[總額
Amount]],1)*$J$11</f>
        <v>0</v>
      </c>
    </row>
    <row r="54" spans="1:6">
      <c r="A54" s="71">
        <f>INDEX(表格2[[#This Row],[項目
Item]],1)</f>
        <v>0</v>
      </c>
      <c r="B54" s="49">
        <f>INDEX(表格2[[#This Row],[工程説明
Description]],1)</f>
        <v>0</v>
      </c>
      <c r="C54" s="47">
        <f>INDEX(表格2[[#This Row],[數量
QTY]],1)</f>
        <v>0</v>
      </c>
      <c r="D54" s="28">
        <f>INDEX(表格2[[#This Row],[單位
Unit]],1)</f>
        <v>0</v>
      </c>
      <c r="E54" s="55">
        <f>INDEX(表格2[[#This Row],[單價
Rate]],1)*$J$11</f>
        <v>0</v>
      </c>
      <c r="F54" s="87">
        <f>INDEX(表格2[[#This Row],[總額
Amount]],1)*$J$11</f>
        <v>0</v>
      </c>
    </row>
    <row r="55" spans="1:6">
      <c r="A55" s="71">
        <f>INDEX(表格2[[#This Row],[項目
Item]],1)</f>
        <v>0</v>
      </c>
      <c r="B55" s="49">
        <f>INDEX(表格2[[#This Row],[工程説明
Description]],1)</f>
        <v>0</v>
      </c>
      <c r="C55" s="47">
        <f>INDEX(表格2[[#This Row],[數量
QTY]],1)</f>
        <v>0</v>
      </c>
      <c r="D55" s="28">
        <f>INDEX(表格2[[#This Row],[單位
Unit]],1)</f>
        <v>0</v>
      </c>
      <c r="E55" s="55">
        <f>INDEX(表格2[[#This Row],[單價
Rate]],1)*$J$11</f>
        <v>0</v>
      </c>
      <c r="F55" s="87">
        <f>INDEX(表格2[[#This Row],[總額
Amount]],1)*$J$11</f>
        <v>0</v>
      </c>
    </row>
    <row r="56" spans="1:6">
      <c r="A56" s="71">
        <f>INDEX(表格2[[#This Row],[項目
Item]],1)</f>
        <v>0</v>
      </c>
      <c r="B56" s="49">
        <f>INDEX(表格2[[#This Row],[工程説明
Description]],1)</f>
        <v>0</v>
      </c>
      <c r="C56" s="47">
        <f>INDEX(表格2[[#This Row],[數量
QTY]],1)</f>
        <v>0</v>
      </c>
      <c r="D56" s="28">
        <f>INDEX(表格2[[#This Row],[單位
Unit]],1)</f>
        <v>0</v>
      </c>
      <c r="E56" s="55">
        <f>INDEX(表格2[[#This Row],[單價
Rate]],1)*$J$11</f>
        <v>0</v>
      </c>
      <c r="F56" s="87">
        <f>INDEX(表格2[[#This Row],[總額
Amount]],1)*$J$11</f>
        <v>0</v>
      </c>
    </row>
    <row r="57" spans="1:6">
      <c r="A57" s="71">
        <f>INDEX(表格2[[#This Row],[項目
Item]],1)</f>
        <v>0</v>
      </c>
      <c r="B57" s="49">
        <f>INDEX(表格2[[#This Row],[工程説明
Description]],1)</f>
        <v>0</v>
      </c>
      <c r="C57" s="47">
        <f>INDEX(表格2[[#This Row],[數量
QTY]],1)</f>
        <v>0</v>
      </c>
      <c r="D57" s="28">
        <f>INDEX(表格2[[#This Row],[單位
Unit]],1)</f>
        <v>0</v>
      </c>
      <c r="E57" s="55">
        <f>INDEX(表格2[[#This Row],[單價
Rate]],1)*$J$11</f>
        <v>0</v>
      </c>
      <c r="F57" s="87">
        <f>INDEX(表格2[[#This Row],[總額
Amount]],1)*$J$11</f>
        <v>0</v>
      </c>
    </row>
    <row r="58" spans="1:6">
      <c r="A58" s="71">
        <f>INDEX(表格2[[#This Row],[項目
Item]],1)</f>
        <v>0</v>
      </c>
      <c r="B58" s="49">
        <f>INDEX(表格2[[#This Row],[工程説明
Description]],1)</f>
        <v>0</v>
      </c>
      <c r="C58" s="47">
        <f>INDEX(表格2[[#This Row],[數量
QTY]],1)</f>
        <v>0</v>
      </c>
      <c r="D58" s="28">
        <f>INDEX(表格2[[#This Row],[單位
Unit]],1)</f>
        <v>0</v>
      </c>
      <c r="E58" s="55">
        <f>INDEX(表格2[[#This Row],[單價
Rate]],1)*$J$11</f>
        <v>0</v>
      </c>
      <c r="F58" s="87">
        <f>INDEX(表格2[[#This Row],[總額
Amount]],1)*$J$11</f>
        <v>0</v>
      </c>
    </row>
    <row r="59" spans="1:6">
      <c r="A59" s="71"/>
      <c r="B59" s="49"/>
      <c r="C59" s="47"/>
      <c r="D59" s="28"/>
      <c r="E59" s="55"/>
      <c r="F59" s="87"/>
    </row>
    <row r="60" spans="1:6">
      <c r="A60" s="71">
        <f>INDEX(表格2[[#This Row],[項目
Item]],1)</f>
        <v>0</v>
      </c>
      <c r="B60" s="49">
        <f>INDEX(表格2[[#This Row],[工程説明
Description]],1)</f>
        <v>0</v>
      </c>
      <c r="C60" s="47">
        <f>INDEX(表格2[[#This Row],[數量
QTY]],1)</f>
        <v>0</v>
      </c>
      <c r="D60" s="28">
        <f>INDEX(表格2[[#This Row],[單位
Unit]],1)</f>
        <v>0</v>
      </c>
      <c r="E60" s="55">
        <f>INDEX(表格2[[#This Row],[單價
Rate]],1)*$J$11</f>
        <v>0</v>
      </c>
      <c r="F60" s="87">
        <f>INDEX(表格2[[#This Row],[總額
Amount]],1)*$J$11</f>
        <v>0</v>
      </c>
    </row>
    <row r="61" spans="1:6" ht="16.2" thickBot="1">
      <c r="A61" s="71">
        <f>INDEX(表格2[[#This Row],[項目
Item]],1)</f>
        <v>0</v>
      </c>
      <c r="B61" s="49">
        <f>INDEX(表格2[[#This Row],[工程説明
Description]],1)</f>
        <v>0</v>
      </c>
      <c r="C61" s="50">
        <f>INDEX(表格2[[#This Row],[數量
QTY]],1)</f>
        <v>0</v>
      </c>
      <c r="D61" s="51">
        <f>INDEX(表格2[[#This Row],[單位
Unit]],1)</f>
        <v>0</v>
      </c>
      <c r="E61" s="60">
        <f>INDEX(表格2[[#This Row],[單價
Rate]],1)*$J$11</f>
        <v>0</v>
      </c>
      <c r="F61" s="88">
        <f>INDEX(表格2[[#This Row],[總額
Amount]],1)*$J$11</f>
        <v>0</v>
      </c>
    </row>
    <row r="62" spans="1:6">
      <c r="A62" s="74"/>
      <c r="B62" s="83"/>
      <c r="C62" s="84" t="s">
        <v>17</v>
      </c>
      <c r="D62" s="85"/>
      <c r="E62" s="84"/>
      <c r="F62" s="86">
        <f>SUM(F15:F61)</f>
        <v>0</v>
      </c>
    </row>
    <row r="63" spans="1:6">
      <c r="A63" s="18" t="s">
        <v>7</v>
      </c>
      <c r="B63" s="11"/>
      <c r="C63" s="22" t="s">
        <v>14</v>
      </c>
      <c r="D63" s="11"/>
      <c r="E63" s="2"/>
      <c r="F63" s="2"/>
    </row>
    <row r="64" spans="1:6">
      <c r="A64" s="11" t="str">
        <f>INDEX('cost table'!A64,1)</f>
        <v>1)100% of full amount on completion date</v>
      </c>
      <c r="B64" s="11"/>
      <c r="C64" s="22" t="str">
        <f>INDEX('cost table'!C64,1)</f>
        <v>Company Name : KA *****</v>
      </c>
      <c r="D64" s="11"/>
      <c r="E64" s="2"/>
      <c r="F64" s="2"/>
    </row>
    <row r="65" spans="1:6">
      <c r="A65" s="11"/>
      <c r="B65" s="11"/>
      <c r="C65" s="22" t="str">
        <f>INDEX('cost table'!C65,1)</f>
        <v>Bank Name : Bank of *****</v>
      </c>
      <c r="D65" s="11"/>
      <c r="E65" s="2"/>
      <c r="F65" s="2"/>
    </row>
    <row r="66" spans="1:6">
      <c r="A66" s="23"/>
      <c r="B66" s="11"/>
      <c r="C66" s="22" t="str">
        <f>INDEX('cost table'!C66,1)</f>
        <v>A/C No. : *****</v>
      </c>
      <c r="D66" s="11"/>
      <c r="E66" s="2"/>
      <c r="F66" s="2"/>
    </row>
    <row r="67" spans="1:6">
      <c r="A67" s="23"/>
      <c r="B67" s="11"/>
      <c r="C67" s="22"/>
      <c r="D67" s="11"/>
      <c r="E67" s="2"/>
      <c r="F67" s="2"/>
    </row>
    <row r="68" spans="1:6">
      <c r="B68" s="11"/>
      <c r="C68" s="11"/>
      <c r="D68" s="11"/>
      <c r="E68" s="2"/>
      <c r="F68" s="2"/>
    </row>
    <row r="69" spans="1:6">
      <c r="A69" s="11"/>
      <c r="B69" s="11"/>
      <c r="C69" s="11"/>
      <c r="D69" s="11"/>
      <c r="E69" s="2"/>
      <c r="F69" s="2"/>
    </row>
    <row r="70" spans="1:6">
      <c r="A70" s="11"/>
      <c r="B70" s="11"/>
      <c r="C70" s="11"/>
      <c r="D70" s="11"/>
      <c r="E70" s="2"/>
      <c r="F70" s="2"/>
    </row>
    <row r="71" spans="1:6">
      <c r="A71" s="11" t="s">
        <v>8</v>
      </c>
      <c r="B71" s="11"/>
      <c r="C71" s="11" t="s">
        <v>10</v>
      </c>
      <c r="D71" s="11"/>
      <c r="E71" s="2"/>
      <c r="F71" s="5"/>
    </row>
    <row r="72" spans="1:6">
      <c r="A72" s="11"/>
      <c r="B72" s="11"/>
      <c r="C72" s="11"/>
      <c r="D72" s="11"/>
      <c r="E72" s="2"/>
      <c r="F72" s="5"/>
    </row>
    <row r="73" spans="1:6">
      <c r="B73" s="11"/>
      <c r="C73" s="11"/>
      <c r="D73" s="11"/>
      <c r="E73" s="2"/>
      <c r="F73" s="5"/>
    </row>
    <row r="74" spans="1:6">
      <c r="B74" s="11"/>
      <c r="C74" s="11"/>
      <c r="D74" s="11"/>
      <c r="E74" s="2"/>
      <c r="F74" s="5"/>
    </row>
    <row r="75" spans="1:6">
      <c r="A75" s="11"/>
      <c r="B75" s="19"/>
      <c r="C75" s="11"/>
      <c r="D75" s="11"/>
      <c r="E75" s="2"/>
      <c r="F75" s="5"/>
    </row>
    <row r="76" spans="1:6">
      <c r="A76" s="20" t="s">
        <v>12</v>
      </c>
      <c r="B76" s="19"/>
      <c r="C76" s="20" t="s">
        <v>13</v>
      </c>
      <c r="D76" s="19"/>
      <c r="E76" s="2"/>
      <c r="F76" s="4"/>
    </row>
    <row r="77" spans="1:6">
      <c r="A77" s="11" t="s">
        <v>9</v>
      </c>
      <c r="B77" s="11"/>
      <c r="C77" s="11" t="str">
        <f>INDEX('cost table'!C77,1)</f>
        <v>KA *****</v>
      </c>
      <c r="D77" s="11"/>
      <c r="E77" s="2"/>
      <c r="F77" s="5"/>
    </row>
    <row r="78" spans="1:6">
      <c r="B78" s="11"/>
      <c r="C78" s="11" t="s">
        <v>11</v>
      </c>
      <c r="D78" s="11"/>
      <c r="E78" s="2"/>
      <c r="F78" s="5"/>
    </row>
  </sheetData>
  <conditionalFormatting sqref="A15:F61">
    <cfRule type="cellIs" dxfId="2" priority="4" operator="lessThanOrEqual">
      <formula>0</formula>
    </cfRule>
  </conditionalFormatting>
  <conditionalFormatting sqref="F6">
    <cfRule type="cellIs" dxfId="1" priority="2" operator="lessThanOrEqual">
      <formula>0</formula>
    </cfRule>
  </conditionalFormatting>
  <conditionalFormatting sqref="B10:B13">
    <cfRule type="cellIs" dxfId="0" priority="1" operator="lessThanOrEqual">
      <formula>0</formula>
    </cfRule>
  </conditionalFormatting>
  <pageMargins left="0.7" right="0.7" top="0.75" bottom="0.75" header="0.3" footer="0.3"/>
  <pageSetup paperSize="9" scale="64" orientation="portrait" horizontalDpi="0" verticalDpi="0" r:id="rId1"/>
  <colBreaks count="1" manualBreakCount="1">
    <brk id="6" max="1048575" man="1"/>
  </colBreak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cost table</vt:lpstr>
      <vt:lpstr>price for customers</vt:lpstr>
      <vt:lpstr>'price for customers'!Print_Area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NS02</dc:creator>
  <cp:lastModifiedBy>Longyin Li</cp:lastModifiedBy>
  <cp:lastPrinted>2021-12-07T03:20:05Z</cp:lastPrinted>
  <dcterms:created xsi:type="dcterms:W3CDTF">2017-03-09T09:47:47Z</dcterms:created>
  <dcterms:modified xsi:type="dcterms:W3CDTF">2022-02-07T12:44:53Z</dcterms:modified>
</cp:coreProperties>
</file>